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60" yWindow="3345" windowWidth="25410" windowHeight="16290" tabRatio="600" firstSheet="0" activeTab="0" autoFilterDateGrouping="1"/>
  </bookViews>
  <sheets>
    <sheet name="China Proforma Invoice - New" sheetId="1" state="visible" r:id="rId1"/>
    <sheet name="标准邮件发送样式" sheetId="2" state="visible" r:id="rId2"/>
    <sheet name="Internal Order" sheetId="3" state="visible" r:id="rId3"/>
    <sheet name="WBS" sheetId="4" state="visible" r:id="rId4"/>
    <sheet name="Cost Center" sheetId="5" state="visible" r:id="rId5"/>
    <sheet name="Sheet2" sheetId="6" state="hidden" r:id="rId6"/>
    <sheet name="Sheet1" sheetId="7" state="hidden" r:id="rId7"/>
  </sheets>
  <definedNames>
    <definedName name="_xlnm.Print_Area" localSheetId="0">'China Proforma Invoice - New'!$A$1:$M$59</definedName>
    <definedName name="_xlnm._FilterDatabase" localSheetId="4" hidden="1">'Cost Center'!$A$1:$I$101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(* #,##0.00000_);_(* \(#,##0.00000\);_(* &quot;-&quot;??_);_(@_)"/>
    <numFmt numFmtId="166" formatCode="#,##0.00_ "/>
    <numFmt numFmtId="167" formatCode="0_ "/>
  </numFmts>
  <fonts count="32">
    <font>
      <name val="宋体"/>
      <charset val="134"/>
      <family val="2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2"/>
      <sz val="9"/>
      <scheme val="minor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charset val="134"/>
      <family val="2"/>
      <sz val="9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color theme="10"/>
      <sz val="11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2"/>
      <color theme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微软雅黑"/>
      <charset val="134"/>
      <family val="2"/>
      <b val="1"/>
      <sz val="10"/>
    </font>
    <font>
      <name val="微软雅黑"/>
      <charset val="134"/>
      <family val="2"/>
      <sz val="8"/>
    </font>
    <font>
      <name val="Gucci Sans Book"/>
      <color theme="1"/>
      <sz val="10"/>
    </font>
    <font>
      <name val="Gucci Sans Book"/>
      <color theme="1"/>
      <sz val="11"/>
    </font>
    <font>
      <name val="Gucci Sans Book"/>
      <color rgb="FFFF0000"/>
      <sz val="11"/>
    </font>
    <font>
      <name val="Gucci Sans Book"/>
      <sz val="11"/>
    </font>
    <font>
      <name val="Gucci Sans Book"/>
      <b val="1"/>
      <color theme="1"/>
      <sz val="11"/>
    </font>
    <font>
      <name val="宋体"/>
      <charset val="134"/>
      <family val="1"/>
      <b val="1"/>
      <color theme="1"/>
      <sz val="11"/>
    </font>
    <font>
      <name val="微软雅黑"/>
      <charset val="134"/>
      <family val="2"/>
      <b val="1"/>
      <color theme="1"/>
      <sz val="11"/>
    </font>
    <font>
      <name val="宋体"/>
      <charset val="134"/>
      <family val="3"/>
      <color rgb="FFFF0000"/>
      <sz val="11"/>
    </font>
    <font>
      <name val="Tahoma"/>
      <family val="2"/>
      <color indexed="81"/>
      <sz val="9"/>
    </font>
    <font>
      <name val="微软雅黑"/>
      <charset val="134"/>
      <family val="2"/>
      <color theme="10"/>
      <sz val="10"/>
      <u val="single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8" fillId="0" borderId="0" applyAlignment="1">
      <alignment vertical="center"/>
    </xf>
    <xf numFmtId="0" fontId="1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0" borderId="0" applyProtection="1">
      <protection locked="0" hidden="0"/>
    </xf>
    <xf numFmtId="43" fontId="8" fillId="0" borderId="0" applyAlignment="1">
      <alignment vertical="center"/>
    </xf>
    <xf numFmtId="0" fontId="10" fillId="0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/>
    </xf>
    <xf numFmtId="164" fontId="0" fillId="0" borderId="0" pivotButton="0" quotePrefix="0" xfId="5"/>
    <xf numFmtId="0" fontId="0" fillId="2" borderId="0" applyAlignment="1" applyProtection="1" pivotButton="0" quotePrefix="0" xfId="0">
      <alignment vertical="center"/>
      <protection locked="0" hidden="0"/>
    </xf>
    <xf numFmtId="164" fontId="0" fillId="0" borderId="0" applyProtection="1" pivotButton="0" quotePrefix="0" xfId="5">
      <protection locked="0" hidden="0"/>
    </xf>
    <xf numFmtId="165" fontId="0" fillId="0" borderId="0" applyProtection="1" pivotButton="0" quotePrefix="0" xfId="5">
      <protection locked="0" hidden="0"/>
    </xf>
    <xf numFmtId="164" fontId="0" fillId="2" borderId="10" pivotButton="0" quotePrefix="0" xfId="5"/>
    <xf numFmtId="0" fontId="18" fillId="2" borderId="6" applyAlignment="1" applyProtection="1" pivotButton="0" quotePrefix="0" xfId="0">
      <alignment horizontal="left" vertical="center"/>
      <protection locked="0" hidden="0"/>
    </xf>
    <xf numFmtId="0" fontId="17" fillId="2" borderId="6" applyAlignment="1" applyProtection="1" pivotButton="0" quotePrefix="0" xfId="0">
      <alignment horizontal="center" vertical="center"/>
      <protection locked="0" hidden="0"/>
    </xf>
    <xf numFmtId="0" fontId="16" fillId="2" borderId="0" applyAlignment="1" pivotButton="0" quotePrefix="0" xfId="0">
      <alignment vertical="center"/>
    </xf>
    <xf numFmtId="166" fontId="17" fillId="2" borderId="6" applyAlignment="1" applyProtection="1" pivotButton="0" quotePrefix="0" xfId="0">
      <alignment horizontal="right" vertical="center"/>
      <protection locked="0" hidden="0"/>
    </xf>
    <xf numFmtId="0" fontId="17" fillId="2" borderId="6" applyAlignment="1" applyProtection="1" pivotButton="0" quotePrefix="0" xfId="0">
      <alignment horizontal="right" vertical="center"/>
      <protection locked="0" hidden="0"/>
    </xf>
    <xf numFmtId="166" fontId="11" fillId="2" borderId="6" applyAlignment="1" applyProtection="1" pivotButton="0" quotePrefix="0" xfId="0">
      <alignment horizontal="right" vertical="center"/>
      <protection locked="0" hidden="0"/>
    </xf>
    <xf numFmtId="9" fontId="11" fillId="2" borderId="6" applyAlignment="1" applyProtection="1" pivotButton="0" quotePrefix="0" xfId="0">
      <alignment horizontal="right" vertical="center"/>
      <protection locked="0" hidden="0"/>
    </xf>
    <xf numFmtId="0" fontId="18" fillId="2" borderId="6" applyAlignment="1" applyProtection="1" pivotButton="0" quotePrefix="1" xfId="0">
      <alignment horizontal="center" vertical="center"/>
      <protection locked="0" hidden="0"/>
    </xf>
    <xf numFmtId="49" fontId="18" fillId="2" borderId="6" applyAlignment="1" applyProtection="1" pivotButton="0" quotePrefix="1" xfId="0">
      <alignment horizontal="center" vertical="center"/>
      <protection locked="0" hidden="0"/>
    </xf>
    <xf numFmtId="0" fontId="19" fillId="2" borderId="0" applyAlignment="1" pivotButton="0" quotePrefix="0" xfId="0">
      <alignment vertical="center"/>
    </xf>
    <xf numFmtId="0" fontId="18" fillId="2" borderId="6" applyAlignment="1" applyProtection="1" pivotButton="0" quotePrefix="0" xfId="0">
      <alignment vertical="center"/>
      <protection locked="0" hidden="0"/>
    </xf>
    <xf numFmtId="166" fontId="18" fillId="2" borderId="6" applyAlignment="1" applyProtection="1" pivotButton="0" quotePrefix="0" xfId="0">
      <alignment horizontal="right" vertical="center"/>
      <protection locked="0" hidden="0"/>
    </xf>
    <xf numFmtId="0" fontId="18" fillId="2" borderId="6" applyAlignment="1" applyProtection="1" pivotButton="0" quotePrefix="0" xfId="0">
      <alignment horizontal="right" vertical="center"/>
      <protection locked="0" hidden="0"/>
    </xf>
    <xf numFmtId="164" fontId="0" fillId="2" borderId="0" pivotButton="0" quotePrefix="0" xfId="5"/>
    <xf numFmtId="0" fontId="23" fillId="2" borderId="0" applyAlignment="1" pivotButton="0" quotePrefix="0" xfId="0">
      <alignment vertical="center"/>
    </xf>
    <xf numFmtId="0" fontId="23" fillId="6" borderId="0" applyAlignment="1" applyProtection="1" pivotButton="0" quotePrefix="0" xfId="0">
      <alignment horizontal="center" vertical="center"/>
      <protection locked="0" hidden="0"/>
    </xf>
    <xf numFmtId="0" fontId="24" fillId="2" borderId="0" applyAlignment="1" pivotButton="0" quotePrefix="0" xfId="0">
      <alignment vertical="center"/>
    </xf>
    <xf numFmtId="0" fontId="25" fillId="2" borderId="0" applyAlignment="1" pivotButton="0" quotePrefix="0" xfId="0">
      <alignment vertical="center"/>
    </xf>
    <xf numFmtId="0" fontId="22" fillId="5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vertical="center"/>
    </xf>
    <xf numFmtId="0" fontId="29" fillId="2" borderId="0" applyAlignment="1" pivotButton="0" quotePrefix="0" xfId="0">
      <alignment vertical="center"/>
    </xf>
    <xf numFmtId="0" fontId="11" fillId="5" borderId="6" applyAlignment="1" pivotButton="0" quotePrefix="0" xfId="0">
      <alignment horizontal="center" vertical="center" wrapText="1"/>
    </xf>
    <xf numFmtId="0" fontId="0" fillId="5" borderId="4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8" fillId="5" borderId="6" applyAlignment="1" pivotButton="0" quotePrefix="0" xfId="0">
      <alignment horizontal="left" vertical="center" wrapText="1"/>
    </xf>
    <xf numFmtId="0" fontId="18" fillId="2" borderId="8" applyAlignment="1" applyProtection="1" pivotButton="0" quotePrefix="0" xfId="0">
      <alignment horizontal="left" vertical="center" wrapText="1"/>
      <protection locked="0" hidden="0"/>
    </xf>
    <xf numFmtId="0" fontId="26" fillId="5" borderId="6" applyAlignment="1" pivotButton="0" quotePrefix="0" xfId="0">
      <alignment horizontal="center" vertical="center" wrapText="1"/>
    </xf>
    <xf numFmtId="166" fontId="11" fillId="5" borderId="6" applyAlignment="1" pivotButton="0" quotePrefix="0" xfId="0">
      <alignment horizontal="right" vertical="center"/>
    </xf>
    <xf numFmtId="0" fontId="26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8" fillId="2" borderId="4" applyAlignment="1" applyProtection="1" pivotButton="0" quotePrefix="0" xfId="0">
      <alignment horizontal="left" vertical="center" wrapText="1"/>
      <protection locked="0" hidden="0"/>
    </xf>
    <xf numFmtId="0" fontId="17" fillId="2" borderId="6" applyAlignment="1" applyProtection="1" pivotButton="0" quotePrefix="0" xfId="0">
      <alignment vertical="center"/>
      <protection locked="0" hidden="0"/>
    </xf>
    <xf numFmtId="0" fontId="31" fillId="2" borderId="6" applyAlignment="1" applyProtection="1" pivotButton="0" quotePrefix="0" xfId="6">
      <alignment vertical="center"/>
      <protection locked="0" hidden="0"/>
    </xf>
    <xf numFmtId="0" fontId="18" fillId="2" borderId="4" applyAlignment="1" applyProtection="1" pivotButton="0" quotePrefix="1" xfId="0">
      <alignment horizontal="left" vertical="center" wrapText="1"/>
      <protection locked="0" hidden="0"/>
    </xf>
    <xf numFmtId="0" fontId="11" fillId="5" borderId="1" applyAlignment="1" pivotButton="0" quotePrefix="0" xfId="0">
      <alignment horizontal="right" vertical="center" wrapText="1"/>
    </xf>
    <xf numFmtId="0" fontId="11" fillId="5" borderId="5" applyAlignment="1" pivotButton="0" quotePrefix="0" xfId="0">
      <alignment horizontal="right" vertical="center" wrapText="1"/>
    </xf>
    <xf numFmtId="0" fontId="18" fillId="2" borderId="9" applyAlignment="1" pivotButton="0" quotePrefix="0" xfId="0">
      <alignment horizontal="left" vertical="center" wrapText="1"/>
    </xf>
    <xf numFmtId="49" fontId="18" fillId="2" borderId="4" applyAlignment="1" applyProtection="1" pivotButton="0" quotePrefix="0" xfId="0">
      <alignment horizontal="left" vertical="center"/>
      <protection locked="0" hidden="0"/>
    </xf>
    <xf numFmtId="49" fontId="18" fillId="2" borderId="5" applyAlignment="1" applyProtection="1" pivotButton="0" quotePrefix="0" xfId="0">
      <alignment horizontal="left" vertical="center"/>
      <protection locked="0" hidden="0"/>
    </xf>
    <xf numFmtId="0" fontId="12" fillId="3" borderId="4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left" vertical="center" wrapText="1"/>
    </xf>
    <xf numFmtId="0" fontId="17" fillId="2" borderId="5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8" fillId="2" borderId="4" applyAlignment="1" applyProtection="1" pivotButton="0" quotePrefix="0" xfId="0">
      <alignment horizontal="left" vertical="center"/>
      <protection locked="0" hidden="0"/>
    </xf>
    <xf numFmtId="0" fontId="18" fillId="2" borderId="5" applyAlignment="1" applyProtection="1" pivotButton="0" quotePrefix="0" xfId="0">
      <alignment horizontal="left" vertical="center"/>
      <protection locked="0" hidden="0"/>
    </xf>
    <xf numFmtId="0" fontId="17" fillId="2" borderId="6" applyAlignment="1" applyProtection="1" pivotButton="0" quotePrefix="0" xfId="0">
      <alignment horizontal="left" vertical="center"/>
      <protection locked="0" hidden="0"/>
    </xf>
    <xf numFmtId="0" fontId="11" fillId="5" borderId="5" applyAlignment="1" pivotButton="0" quotePrefix="0" xfId="0">
      <alignment horizontal="right" vertical="center"/>
    </xf>
    <xf numFmtId="0" fontId="18" fillId="2" borderId="6" applyAlignment="1" applyProtection="1" pivotButton="0" quotePrefix="0" xfId="0">
      <alignment horizontal="left" vertical="center"/>
      <protection locked="0" hidden="0"/>
    </xf>
    <xf numFmtId="167" fontId="18" fillId="2" borderId="4" applyAlignment="1" applyProtection="1" pivotButton="0" quotePrefix="1" xfId="0">
      <alignment horizontal="left" vertical="center"/>
      <protection locked="0" hidden="0"/>
    </xf>
    <xf numFmtId="167" fontId="18" fillId="2" borderId="5" applyAlignment="1" applyProtection="1" pivotButton="0" quotePrefix="0" xfId="0">
      <alignment horizontal="left" vertical="center"/>
      <protection locked="0" hidden="0"/>
    </xf>
    <xf numFmtId="0" fontId="21" fillId="2" borderId="4" applyAlignment="1" applyProtection="1" pivotButton="0" quotePrefix="0" xfId="0">
      <alignment horizontal="left" vertical="center" wrapText="1"/>
      <protection locked="0" hidden="0"/>
    </xf>
    <xf numFmtId="0" fontId="21" fillId="2" borderId="5" applyAlignment="1" applyProtection="1" pivotButton="0" quotePrefix="0" xfId="0">
      <alignment horizontal="left" vertical="center" wrapText="1"/>
      <protection locked="0" hidden="0"/>
    </xf>
    <xf numFmtId="0" fontId="18" fillId="5" borderId="4" applyAlignment="1" pivotButton="0" quotePrefix="0" xfId="0">
      <alignment horizontal="left" vertical="center" wrapText="1"/>
    </xf>
    <xf numFmtId="0" fontId="18" fillId="5" borderId="5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left" vertical="center" wrapText="1"/>
    </xf>
    <xf numFmtId="0" fontId="17" fillId="2" borderId="6" applyAlignment="1" pivotButton="0" quotePrefix="0" xfId="0">
      <alignment horizontal="left" vertical="center" wrapText="1"/>
    </xf>
    <xf numFmtId="0" fontId="20" fillId="2" borderId="4" applyAlignment="1" applyProtection="1" pivotButton="0" quotePrefix="0" xfId="0">
      <alignment horizontal="left" vertical="center"/>
      <protection locked="0" hidden="0"/>
    </xf>
    <xf numFmtId="0" fontId="20" fillId="2" borderId="5" applyAlignment="1" applyProtection="1" pivotButton="0" quotePrefix="0" xfId="0">
      <alignment horizontal="left" vertical="center"/>
      <protection locked="0" hidden="0"/>
    </xf>
    <xf numFmtId="14" fontId="18" fillId="2" borderId="4" applyAlignment="1" applyProtection="1" pivotButton="0" quotePrefix="0" xfId="0">
      <alignment horizontal="left" vertical="center"/>
      <protection locked="0" hidden="0"/>
    </xf>
    <xf numFmtId="14" fontId="18" fillId="2" borderId="5" applyAlignment="1" applyProtection="1" pivotButton="0" quotePrefix="0" xfId="0">
      <alignment horizontal="left" vertical="center"/>
      <protection locked="0" hidden="0"/>
    </xf>
    <xf numFmtId="0" fontId="18" fillId="2" borderId="4" applyAlignment="1" applyProtection="1" pivotButton="0" quotePrefix="0" xfId="0">
      <alignment horizontal="left" vertical="center" wrapText="1"/>
      <protection locked="0" hidden="0"/>
    </xf>
    <xf numFmtId="0" fontId="11" fillId="5" borderId="6" applyAlignment="1" pivotButton="0" quotePrefix="0" xfId="0">
      <alignment horizontal="center" vertical="center" wrapText="1"/>
    </xf>
    <xf numFmtId="0" fontId="17" fillId="2" borderId="6" applyAlignment="1" applyProtection="1" pivotButton="0" quotePrefix="0" xfId="0">
      <alignment horizontal="left" vertical="center" wrapText="1"/>
      <protection locked="0" hidden="0"/>
    </xf>
    <xf numFmtId="0" fontId="18" fillId="2" borderId="4" applyAlignment="1" pivotButton="0" quotePrefix="0" xfId="0">
      <alignment horizontal="left" vertical="center" wrapText="1"/>
    </xf>
    <xf numFmtId="0" fontId="18" fillId="2" borderId="5" applyAlignment="1" pivotButton="0" quotePrefix="0" xfId="0">
      <alignment horizontal="left" vertical="center" wrapText="1"/>
    </xf>
    <xf numFmtId="166" fontId="20" fillId="2" borderId="4" applyAlignment="1" applyProtection="1" pivotButton="0" quotePrefix="0" xfId="0">
      <alignment horizontal="left" vertical="center"/>
      <protection locked="0" hidden="0"/>
    </xf>
    <xf numFmtId="166" fontId="20" fillId="2" borderId="5" applyAlignment="1" applyProtection="1" pivotButton="0" quotePrefix="0" xfId="0">
      <alignment horizontal="left" vertical="center"/>
      <protection locked="0" hidden="0"/>
    </xf>
    <xf numFmtId="0" fontId="22" fillId="0" borderId="4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2" fillId="3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164" fontId="0" fillId="0" borderId="0" pivotButton="0" quotePrefix="0" xfId="5"/>
    <xf numFmtId="0" fontId="20" fillId="2" borderId="6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164" fontId="0" fillId="2" borderId="10" pivotButton="0" quotePrefix="0" xfId="5"/>
    <xf numFmtId="14" fontId="18" fillId="2" borderId="6" applyAlignment="1" applyProtection="1" pivotButton="0" quotePrefix="0" xfId="0">
      <alignment horizontal="left" vertical="center"/>
      <protection locked="0" hidden="0"/>
    </xf>
    <xf numFmtId="0" fontId="18" fillId="2" borderId="6" applyAlignment="1" pivotButton="0" quotePrefix="0" xfId="0">
      <alignment horizontal="left" vertical="center" wrapText="1"/>
    </xf>
    <xf numFmtId="0" fontId="18" fillId="2" borderId="6" applyAlignment="1" applyProtection="1" pivotButton="0" quotePrefix="0" xfId="0">
      <alignment horizontal="left" vertical="center" wrapText="1"/>
      <protection locked="0" hidden="0"/>
    </xf>
    <xf numFmtId="166" fontId="20" fillId="2" borderId="6" applyAlignment="1" applyProtection="1" pivotButton="0" quotePrefix="0" xfId="0">
      <alignment horizontal="left" vertical="center"/>
      <protection locked="0" hidden="0"/>
    </xf>
    <xf numFmtId="167" fontId="18" fillId="2" borderId="6" applyAlignment="1" applyProtection="1" pivotButton="0" quotePrefix="1" xfId="0">
      <alignment horizontal="left" vertical="center"/>
      <protection locked="0" hidden="0"/>
    </xf>
    <xf numFmtId="0" fontId="22" fillId="0" borderId="6" applyAlignment="1" pivotButton="0" quotePrefix="0" xfId="0">
      <alignment horizontal="left" vertical="center" wrapText="1"/>
    </xf>
    <xf numFmtId="164" fontId="0" fillId="2" borderId="0" pivotButton="0" quotePrefix="0" xfId="5"/>
    <xf numFmtId="0" fontId="11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49" fontId="18" fillId="2" borderId="6" applyAlignment="1" applyProtection="1" pivotButton="0" quotePrefix="0" xfId="0">
      <alignment horizontal="left" vertical="center"/>
      <protection locked="0" hidden="0"/>
    </xf>
    <xf numFmtId="0" fontId="0" fillId="0" borderId="12" pivotButton="0" quotePrefix="0" xfId="0"/>
    <xf numFmtId="0" fontId="21" fillId="2" borderId="6" applyAlignment="1" applyProtection="1" pivotButton="0" quotePrefix="0" xfId="0">
      <alignment horizontal="left" vertical="center" wrapText="1"/>
      <protection locked="0" hidden="0"/>
    </xf>
    <xf numFmtId="164" fontId="0" fillId="0" borderId="0" applyProtection="1" pivotButton="0" quotePrefix="0" xfId="5">
      <protection locked="0" hidden="0"/>
    </xf>
    <xf numFmtId="166" fontId="17" fillId="2" borderId="6" applyAlignment="1" applyProtection="1" pivotButton="0" quotePrefix="0" xfId="0">
      <alignment horizontal="right" vertical="center"/>
      <protection locked="0" hidden="0"/>
    </xf>
    <xf numFmtId="165" fontId="0" fillId="0" borderId="0" applyProtection="1" pivotButton="0" quotePrefix="0" xfId="5">
      <protection locked="0" hidden="0"/>
    </xf>
    <xf numFmtId="166" fontId="18" fillId="2" borderId="6" applyAlignment="1" applyProtection="1" pivotButton="0" quotePrefix="0" xfId="0">
      <alignment horizontal="right" vertical="center"/>
      <protection locked="0" hidden="0"/>
    </xf>
    <xf numFmtId="166" fontId="11" fillId="2" borderId="6" applyAlignment="1" applyProtection="1" pivotButton="0" quotePrefix="0" xfId="0">
      <alignment horizontal="right" vertical="center"/>
      <protection locked="0" hidden="0"/>
    </xf>
    <xf numFmtId="166" fontId="11" fillId="5" borderId="6" applyAlignment="1" pivotButton="0" quotePrefix="0" xfId="0">
      <alignment horizontal="right" vertical="center"/>
    </xf>
  </cellXfs>
  <cellStyles count="7">
    <cellStyle name="Normal" xfId="0" builtinId="0"/>
    <cellStyle name="常规 4" xfId="1"/>
    <cellStyle name="常规 2" xfId="2"/>
    <cellStyle name="常规 3" xfId="3"/>
    <cellStyle name="样式 1" xfId="4"/>
    <cellStyle name="Comma" xfId="5" builtinId="3"/>
    <cellStyle name="Hyperlink" xfId="6" builtinId="8"/>
  </cellStyles>
  <dxfs count="3"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XU Fantasy</author>
    <author>WANG Stella</author>
  </authors>
  <commentList>
    <comment ref="A5" authorId="0" shapeId="0">
      <text>
        <t xml:space="preserve">请填开云集团下属品牌公司的全称，例如： 开云投资管理集团有限公司
 </t>
      </text>
    </comment>
    <comment ref="D5" authorId="0" shapeId="0">
      <text>
        <t>请自定义形式发票编码，用于系统录入，查重校验以及后续可能会发生的问题沟通或者退单跟踪.此编码也须写在邮件标题中。
编码规则：年年月月日日+2位序列号
例如：21080299
21：21年
08：08月
02：02号
99：自定义序列号（避免重复）
* 日期按照填写此表时的日期来编写即可
* 最后两位序列号可随意编写，例如33，48，54等等，请尽量避免使用常用的数字例如01，02，88，98，99等。
* 如同一天提交多份付款申请，序列号应区别开来，避免重复。</t>
      </text>
    </comment>
    <comment ref="A6" authorId="0" shapeId="0">
      <text>
        <t xml:space="preserve">请填开云集团对接品牌部门联系人全名（最好中英文都写）
</t>
      </text>
    </comment>
    <comment ref="D6" authorId="0" shapeId="0">
      <text>
        <t xml:space="preserve">请填增值税发票的开具日期，
如涉及多张增值税发票且日期不同，只需填写其中一个最早的开票日期。日期格式请严格按照示例填写 - YYYY/MM/DD。
</t>
      </text>
    </comment>
    <comment ref="A7" authorId="0" shapeId="0">
      <text>
        <t xml:space="preserve">请填开云集团对接品牌联系人所在部门名字
</t>
      </text>
    </comment>
    <comment ref="D7" authorId="0" shapeId="0">
      <text>
        <t xml:space="preserve">请填希望付款的日期，或按照合同约定的付款日填写。日期格式请严格按照示例填写 - YYYY/MM/DD。
</t>
      </text>
    </comment>
    <comment ref="A8" authorId="0" shapeId="0">
      <text>
        <t xml:space="preserve">请填付款方业务部门联系人邮箱地址：很重要！
</t>
      </text>
    </comment>
    <comment ref="D8" authorId="0" shapeId="0">
      <text>
        <t>根据实际付款币种在右方下拉框中选择</t>
      </text>
    </comment>
    <comment ref="D9" authorId="0" shapeId="0">
      <text>
        <t xml:space="preserve">1）请填写所有增值税发票加总后的总金额，或本次付款申请的总额
2）请确保表格上下金额一致，右方出现TRUE字样。如不一致，出现FALSE字样，则会被退单
</t>
      </text>
    </comment>
    <comment ref="A10" authorId="1" shapeId="0">
      <text>
        <t xml:space="preserve">非必填项
</t>
      </text>
    </comment>
    <comment ref="D10" authorId="0" shapeId="0">
      <text>
        <t>如已建立采购订单，请在此填写订单号</t>
      </text>
    </comment>
    <comment ref="A11" authorId="0" shapeId="0">
      <text>
        <t xml:space="preserve">CRM/Commnunication/Leasehold improvement均需填写WBS
具体请和brand finance确认是否有WBS编号
</t>
      </text>
    </comment>
    <comment ref="D11" authorId="0" shapeId="0">
      <text>
        <t xml:space="preserve">VM/PR/Warehouse/MIS/HR/CS/SP/CRM/Training等需填写IO
具体请和brand finance确认是否有IO编号
</t>
      </text>
    </comment>
    <comment ref="A15" authorId="1" shapeId="0">
      <text>
        <t xml:space="preserve">非必填项
</t>
      </text>
    </comment>
    <comment ref="D15" authorId="0" shapeId="0">
      <text>
        <t>重要！请填写贵公司在银行开户的完整的户名
请确保供应商档案已在我司财务系统中完整建立</t>
      </text>
    </comment>
    <comment ref="A16" authorId="0" shapeId="0">
      <text>
        <t>重要！请填写贵公司全名</t>
      </text>
    </comment>
    <comment ref="D16" authorId="0" shapeId="0">
      <text>
        <t>重要！请填写贵公司收款行银行名称（包括城市名和支行名）
请确保开户行信息已在我司财务系统中完整建立</t>
      </text>
    </comment>
    <comment ref="A17" authorId="0" shapeId="0">
      <text>
        <t>重要！请填写贵公司税号
国外供应商此栏可以留空</t>
      </text>
    </comment>
    <comment ref="D17" authorId="0" shapeId="0">
      <text>
        <t>重要！请确保数据正确。
请确保银行账号信息已在我司财务系统中完整建立</t>
      </text>
    </comment>
    <comment ref="A19" authorId="0" shapeId="0">
      <text>
        <t xml:space="preserve">重要！请填写贵公司联系人邮箱，务必正确。
</t>
      </text>
    </comment>
    <comment ref="D22" authorId="0" shapeId="0">
      <text>
        <t xml:space="preserve">请在下拉框中选择
</t>
      </text>
    </comment>
    <comment ref="B24" authorId="0" shapeId="0">
      <text>
        <t xml:space="preserve">请详细填写描述，包括对应部门及费用区间等
</t>
      </text>
    </comment>
    <comment ref="D24" authorId="0" shapeId="0">
      <text>
        <t xml:space="preserve">请填写SAP财务系统中的对应部门成本中心代码
</t>
      </text>
    </comment>
    <comment ref="G55" authorId="0" shapeId="0">
      <text>
        <t xml:space="preserve">请填写全部增值税发票加总后的不含税金额
</t>
      </text>
    </comment>
    <comment ref="G56" authorId="0" shapeId="0">
      <text>
        <t xml:space="preserve">请填写全部增值税发票加总后的税额
</t>
      </text>
    </comment>
    <comment ref="G58" authorId="0" shapeId="0">
      <text>
        <t xml:space="preserve">如涉及多个税率，请全部填写在此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1010764</colOff>
      <row>2</row>
      <rowOff>92412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734269" cy="5738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19049</colOff>
      <row>0</row>
      <rowOff>38100</rowOff>
    </from>
    <to>
      <col>14</col>
      <colOff>668508</colOff>
      <row>28</row>
      <rowOff>123825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049" y="38100"/>
          <a:ext cx="10250659" cy="4886325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表1" displayName="表1" ref="I4:I27" headerRowCount="1" totalsRowShown="0" headerRowDxfId="2" dataDxfId="1">
  <autoFilter ref="I4:I27"/>
  <tableColumns count="1">
    <tableColumn id="1" name="列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O200"/>
  <sheetViews>
    <sheetView tabSelected="1" topLeftCell="A57" zoomScaleNormal="100" workbookViewId="0">
      <selection activeCell="G58" sqref="G58"/>
    </sheetView>
  </sheetViews>
  <sheetFormatPr baseColWidth="8" defaultColWidth="8.75" defaultRowHeight="14.25"/>
  <cols>
    <col width="9.5" customWidth="1" style="4" min="1" max="1"/>
    <col width="21.5" customWidth="1" style="4" min="2" max="2"/>
    <col width="41.75" customWidth="1" style="4" min="3" max="3"/>
    <col width="20.5" customWidth="1" style="4" min="4" max="4"/>
    <col width="16.5" customWidth="1" style="4" min="5" max="5"/>
    <col width="16" customWidth="1" style="4" min="6" max="6"/>
    <col width="29.25" customWidth="1" style="4" min="7" max="7"/>
    <col width="6.5" customWidth="1" style="4" min="8" max="8"/>
    <col hidden="1" width="28.25" customWidth="1" style="4" min="9" max="9"/>
    <col hidden="1" width="2.75" customWidth="1" style="4" min="10" max="10"/>
    <col hidden="1" width="29.25" customWidth="1" style="4" min="11" max="11"/>
    <col hidden="1" width="8.75" customWidth="1" style="27" min="12" max="12"/>
    <col width="61.5" customWidth="1" style="4" min="13" max="13"/>
    <col width="1.25" customWidth="1" style="4" min="14" max="14"/>
    <col width="33.5" customWidth="1" style="4" min="15" max="15"/>
    <col width="8.75" customWidth="1" style="4" min="16" max="16384"/>
  </cols>
  <sheetData>
    <row r="1" ht="19.15" customHeight="1" s="94"/>
    <row r="2" ht="19.15" customHeight="1" s="94"/>
    <row r="3" ht="10.15" customHeight="1" s="94"/>
    <row r="4" ht="42" customHeight="1" s="94">
      <c r="A4" s="95" t="inlineStr">
        <is>
          <t>Proforma Invoice
发票信息表</t>
        </is>
      </c>
      <c r="B4" s="96" t="n"/>
      <c r="C4" s="96" t="n"/>
      <c r="D4" s="96" t="n"/>
      <c r="E4" s="96" t="n"/>
      <c r="F4" s="96" t="n"/>
      <c r="G4" s="97" t="n"/>
      <c r="I4" s="98" t="inlineStr">
        <is>
          <t>列1</t>
        </is>
      </c>
    </row>
    <row r="5" ht="39" customHeight="1" s="94">
      <c r="A5" s="80" t="inlineStr">
        <is>
          <t>Bill To:
付款方：</t>
        </is>
      </c>
      <c r="B5" s="97" t="n"/>
      <c r="C5" s="23" t="n"/>
      <c r="D5" s="80" t="inlineStr">
        <is>
          <t>Proforma Invoice Number:
形式发票编码：</t>
        </is>
      </c>
      <c r="E5" s="97" t="n"/>
      <c r="F5" s="99" t="n"/>
      <c r="G5" s="100" t="n"/>
      <c r="I5" s="98" t="inlineStr">
        <is>
          <t>CNY  人民币</t>
        </is>
      </c>
      <c r="K5" s="101" t="inlineStr">
        <is>
          <t>增值税专用发票</t>
        </is>
      </c>
    </row>
    <row r="6" ht="39" customHeight="1" s="94">
      <c r="A6" s="80" t="inlineStr">
        <is>
          <t>Contact Person:
付款方联系人：</t>
        </is>
      </c>
      <c r="B6" s="97" t="n"/>
      <c r="C6" s="47" t="inlineStr">
        <is>
          <t>Alice Niu牛惠香</t>
        </is>
      </c>
      <c r="D6" s="80" t="inlineStr">
        <is>
          <t>Invoice Date:
发票日期：</t>
        </is>
      </c>
      <c r="E6" s="97" t="n"/>
      <c r="F6" s="102" t="n"/>
      <c r="G6" s="100" t="n"/>
      <c r="I6" s="98" t="inlineStr">
        <is>
          <t>EUR  欧元</t>
        </is>
      </c>
      <c r="K6" s="101" t="inlineStr">
        <is>
          <t>增值税普通发票</t>
        </is>
      </c>
    </row>
    <row r="7" ht="39" customHeight="1" s="94">
      <c r="A7" s="80" t="inlineStr">
        <is>
          <t>Department:
付款方联系人所在部门：</t>
        </is>
      </c>
      <c r="B7" s="97" t="n"/>
      <c r="C7" s="47" t="inlineStr">
        <is>
          <t>KT China</t>
        </is>
      </c>
      <c r="D7" s="103" t="inlineStr">
        <is>
          <t>Payment Due Date:
付款日：</t>
        </is>
      </c>
      <c r="E7" s="97" t="n"/>
      <c r="F7" s="102" t="n"/>
      <c r="G7" s="100" t="n"/>
      <c r="I7" s="98" t="inlineStr">
        <is>
          <t>GBP  英镑</t>
        </is>
      </c>
      <c r="K7" s="101" t="inlineStr">
        <is>
          <t>增值税电子专用发票</t>
        </is>
      </c>
    </row>
    <row r="8" ht="39" customHeight="1" s="94">
      <c r="A8" s="80" t="inlineStr">
        <is>
          <t>Kering Internal Contact:
付款方联系人邮箱：</t>
        </is>
      </c>
      <c r="B8" s="97" t="n"/>
      <c r="C8" s="48" t="inlineStr">
        <is>
          <t>alice.niu@kering.com</t>
        </is>
      </c>
      <c r="D8" s="80" t="inlineStr">
        <is>
          <t>Currency:
币种：</t>
        </is>
      </c>
      <c r="E8" s="97" t="n"/>
      <c r="F8" s="104" t="inlineStr">
        <is>
          <t>CNY  人民币</t>
        </is>
      </c>
      <c r="G8" s="100" t="n"/>
      <c r="I8" s="98" t="inlineStr">
        <is>
          <t>HKD  港币</t>
        </is>
      </c>
      <c r="K8" s="101" t="inlineStr">
        <is>
          <t>增值税电子普通发票</t>
        </is>
      </c>
    </row>
    <row r="9" ht="39" customHeight="1" s="94">
      <c r="A9" s="80" t="inlineStr">
        <is>
          <t>Telephone:
付款方联系人电话：</t>
        </is>
      </c>
      <c r="B9" s="97" t="n"/>
      <c r="C9" s="67" t="n">
        <v>15393492085</v>
      </c>
      <c r="D9" s="80" t="inlineStr">
        <is>
          <t>Total Amount:
总金额：</t>
        </is>
      </c>
      <c r="E9" s="97" t="n"/>
      <c r="F9" s="105" t="n"/>
      <c r="G9" s="100" t="n"/>
      <c r="H9" s="7">
        <f>IF(F9=G57,TRUE,FALSE)</f>
        <v/>
      </c>
      <c r="I9" s="98" t="inlineStr">
        <is>
          <t>USD  美元</t>
        </is>
      </c>
      <c r="K9" s="101" t="inlineStr">
        <is>
          <t>全电发票</t>
        </is>
      </c>
    </row>
    <row r="10" ht="39" customHeight="1" s="94">
      <c r="A10" s="80" t="inlineStr">
        <is>
          <t>Contract Number:
合同编号：</t>
        </is>
      </c>
      <c r="B10" s="97" t="n"/>
      <c r="C10" s="67" t="inlineStr">
        <is>
          <t>非必填项</t>
        </is>
      </c>
      <c r="D10" s="80" t="inlineStr">
        <is>
          <t>Kering Group PO Number:
开云集团内部采购订单号：</t>
        </is>
      </c>
      <c r="E10" s="97" t="n"/>
      <c r="F10" s="104" t="n"/>
      <c r="G10" s="100" t="n"/>
      <c r="I10" s="98" t="inlineStr">
        <is>
          <t>TWD  新台币</t>
        </is>
      </c>
      <c r="K10" s="101" t="inlineStr">
        <is>
          <t>其他</t>
        </is>
      </c>
    </row>
    <row r="11" ht="39" customHeight="1" s="94">
      <c r="A11" s="80" t="inlineStr">
        <is>
          <t>WBS Element:
开云集团内部WBS代码：</t>
        </is>
      </c>
      <c r="B11" s="97" t="n"/>
      <c r="C11" s="67" t="inlineStr">
        <is>
          <t>非必填项</t>
        </is>
      </c>
      <c r="D11" s="80" t="inlineStr">
        <is>
          <t>Internal Order:
开云集团内部项目编号：</t>
        </is>
      </c>
      <c r="E11" s="97" t="n"/>
      <c r="F11" s="106" t="n"/>
      <c r="G11" s="100" t="n"/>
      <c r="I11" s="98" t="inlineStr">
        <is>
          <t>MYR  马来西亚林吉特</t>
        </is>
      </c>
      <c r="K11" s="101" t="inlineStr">
        <is>
          <t>预付款，发票后开</t>
        </is>
      </c>
    </row>
    <row r="12" ht="39" customHeight="1" s="94">
      <c r="A12" s="80" t="inlineStr">
        <is>
          <t>WBS Element description:
开云集团内部WBS描述：</t>
        </is>
      </c>
      <c r="B12" s="97" t="n"/>
      <c r="C12" s="37">
        <f>_xlfn.XLOOKUP($C$11,WBS!$G:$G,WBS!$H:$H)</f>
        <v/>
      </c>
      <c r="D12" s="107" t="inlineStr">
        <is>
          <t>Internal Order description:
开云集团内部项目描述：</t>
        </is>
      </c>
      <c r="E12" s="97" t="n"/>
      <c r="F12" s="37">
        <f>_xlfn.XLOOKUP($F$11,'Internal Order'!$A:$A,'Internal Order'!$B:$B)</f>
        <v/>
      </c>
      <c r="G12" s="97" t="n"/>
      <c r="I12" s="98" t="inlineStr">
        <is>
          <t>SGD  新加坡元</t>
        </is>
      </c>
      <c r="K12" s="108" t="n"/>
    </row>
    <row r="13" ht="9.6" customHeight="1" s="94">
      <c r="A13" s="74" t="n"/>
      <c r="B13" s="96" t="n"/>
      <c r="C13" s="5" t="n"/>
      <c r="D13" s="5" t="n"/>
      <c r="E13" s="5" t="n"/>
      <c r="F13" s="5" t="n"/>
      <c r="G13" s="6" t="n"/>
      <c r="I13" s="98" t="inlineStr">
        <is>
          <t>MOP  澳门币</t>
        </is>
      </c>
    </row>
    <row r="14" ht="39" customHeight="1" s="94">
      <c r="A14" s="109" t="inlineStr">
        <is>
          <t>Vendor General Info:
供应商基本信息：</t>
        </is>
      </c>
      <c r="B14" s="110" t="n"/>
      <c r="C14" s="111" t="n"/>
      <c r="D14" s="86" t="inlineStr">
        <is>
          <t>Vendor Bank Info:
供应商收款账户信息:</t>
        </is>
      </c>
      <c r="E14" s="96" t="n"/>
      <c r="F14" s="96" t="n"/>
      <c r="G14" s="97" t="n"/>
      <c r="I14" s="98" t="inlineStr">
        <is>
          <t>JPY  日元</t>
        </is>
      </c>
    </row>
    <row r="15" ht="39" customHeight="1" s="94">
      <c r="A15" s="80" t="inlineStr">
        <is>
          <t>SAP Vendor Code:
开云集团付款系统之供应商代码：</t>
        </is>
      </c>
      <c r="B15" s="97" t="n"/>
      <c r="C15" s="67" t="inlineStr">
        <is>
          <t>非必填项</t>
        </is>
      </c>
      <c r="D15" s="80" t="inlineStr">
        <is>
          <t>Bank Account Holder Name：
银行开户户名:</t>
        </is>
      </c>
      <c r="E15" s="97" t="n"/>
      <c r="F15" s="67" t="inlineStr">
        <is>
          <t>上海珩际信息科技有限公司</t>
        </is>
      </c>
      <c r="G15" s="100" t="n"/>
      <c r="I15" s="98" t="inlineStr">
        <is>
          <t>KRW  韩币</t>
        </is>
      </c>
    </row>
    <row r="16" ht="39" customHeight="1" s="94">
      <c r="A16" s="80" t="inlineStr">
        <is>
          <t>Vendor Company Name:
供应商公司名：</t>
        </is>
      </c>
      <c r="B16" s="97" t="n"/>
      <c r="C16" s="47" t="inlineStr">
        <is>
          <t>上海珩际信息科技有限公司</t>
        </is>
      </c>
      <c r="D16" s="80" t="inlineStr">
        <is>
          <t>Beneficiary Bank Name:
银行名称:</t>
        </is>
      </c>
      <c r="E16" s="97" t="n"/>
      <c r="F16" s="67" t="inlineStr">
        <is>
          <t>中国光大银行上海昌里支行</t>
        </is>
      </c>
      <c r="G16" s="100" t="n"/>
      <c r="I16" s="98" t="inlineStr">
        <is>
          <t>AUD  澳元</t>
        </is>
      </c>
    </row>
    <row r="17" ht="39" customHeight="1" s="94">
      <c r="A17" s="80" t="inlineStr">
        <is>
          <t>Company Tax ID：
税号/统一社会信用代码:</t>
        </is>
      </c>
      <c r="B17" s="97" t="n"/>
      <c r="C17" s="49" t="inlineStr">
        <is>
          <t>91310114080030903E</t>
        </is>
      </c>
      <c r="D17" s="80" t="inlineStr">
        <is>
          <t>Bank Account Number:
银行账号:</t>
        </is>
      </c>
      <c r="E17" s="97" t="n"/>
      <c r="F17" s="112" t="inlineStr">
        <is>
          <t>36750188000046804</t>
        </is>
      </c>
      <c r="G17" s="100" t="n"/>
      <c r="I17" s="98" t="inlineStr">
        <is>
          <t>CHF  瑞士法郎</t>
        </is>
      </c>
    </row>
    <row r="18" ht="39" customHeight="1" s="94">
      <c r="A18" s="80" t="inlineStr">
        <is>
          <t>Contact Person:
供应商联系人：</t>
        </is>
      </c>
      <c r="B18" s="97" t="n"/>
      <c r="C18" s="85" t="inlineStr">
        <is>
          <t>Jimmy Wang</t>
        </is>
      </c>
      <c r="D18" s="80" t="inlineStr">
        <is>
          <t>IBAN：
国际银行账号：</t>
        </is>
      </c>
      <c r="E18" s="97" t="n"/>
      <c r="F18" s="67" t="inlineStr">
        <is>
          <t>仅适用于境外供应商</t>
        </is>
      </c>
      <c r="G18" s="100" t="n"/>
      <c r="I18" s="98" t="inlineStr">
        <is>
          <t>SEK  瑞典克朗</t>
        </is>
      </c>
    </row>
    <row r="19" ht="39" customHeight="1" s="94">
      <c r="A19" s="80" t="inlineStr">
        <is>
          <t>Email Address:
供应商联系人邮箱：</t>
        </is>
      </c>
      <c r="B19" s="97" t="n"/>
      <c r="C19" s="85" t="inlineStr">
        <is>
          <t>jimmy.wang@hengji-info.com</t>
        </is>
      </c>
      <c r="D19" s="80" t="inlineStr">
        <is>
          <t>Swift Code:
银行国际代码:</t>
        </is>
      </c>
      <c r="E19" s="97" t="n"/>
      <c r="F19" s="67" t="inlineStr">
        <is>
          <t>仅适用于境外供应商</t>
        </is>
      </c>
      <c r="G19" s="100" t="n"/>
      <c r="I19" s="98" t="inlineStr">
        <is>
          <t>CAD  加拿大元</t>
        </is>
      </c>
    </row>
    <row r="20" ht="39" customHeight="1" s="94">
      <c r="A20" s="80" t="inlineStr">
        <is>
          <t>Telephone:
供应商联系人电话：</t>
        </is>
      </c>
      <c r="B20" s="97" t="n"/>
      <c r="C20" s="85" t="n">
        <v>13818236637</v>
      </c>
      <c r="D20" s="80" t="inlineStr">
        <is>
          <t>Bank Address：
银行地址:</t>
        </is>
      </c>
      <c r="E20" s="97" t="n"/>
      <c r="F20" s="67" t="inlineStr">
        <is>
          <t>仅适用于境外供应商</t>
        </is>
      </c>
      <c r="G20" s="100" t="n"/>
      <c r="I20" s="98" t="inlineStr">
        <is>
          <t>THB  泰铢</t>
        </is>
      </c>
    </row>
    <row r="21" ht="9.6" customHeight="1" s="94">
      <c r="A21" s="74" t="n"/>
      <c r="B21" s="96" t="n"/>
      <c r="C21" s="5" t="n"/>
      <c r="D21" s="5" t="n"/>
      <c r="E21" s="5" t="n"/>
      <c r="F21" s="5" t="n"/>
      <c r="G21" s="6" t="n"/>
      <c r="I21" s="98" t="inlineStr">
        <is>
          <t>VND  越南盾</t>
        </is>
      </c>
    </row>
    <row r="22" ht="39" customHeight="1" s="94">
      <c r="A22" s="79" t="inlineStr">
        <is>
          <t>Project Code:
项目/服务编号：</t>
        </is>
      </c>
      <c r="B22" s="113" t="n"/>
      <c r="C22" s="38" t="n"/>
      <c r="D22" s="52" t="inlineStr">
        <is>
          <t>Invoice Type：
发票类型：</t>
        </is>
      </c>
      <c r="E22" s="113" t="n"/>
      <c r="F22" s="112" t="inlineStr">
        <is>
          <t>全电发票</t>
        </is>
      </c>
      <c r="G22" s="100" t="n"/>
      <c r="I22" s="98" t="inlineStr">
        <is>
          <t>PHP  菲律宾比索</t>
        </is>
      </c>
    </row>
    <row r="23" ht="39" customHeight="1" s="94">
      <c r="A23" s="80" t="inlineStr">
        <is>
          <t>Project Name:
项目/服务名称和描述：</t>
        </is>
      </c>
      <c r="B23" s="97" t="n"/>
      <c r="C23" s="9" t="n"/>
      <c r="D23" s="52" t="inlineStr">
        <is>
          <t>Remarks：
备注：</t>
        </is>
      </c>
      <c r="E23" s="113" t="n"/>
      <c r="F23" s="114" t="n"/>
      <c r="G23" s="100" t="n"/>
      <c r="I23" s="115" t="inlineStr">
        <is>
          <t>INR  印度卢比</t>
        </is>
      </c>
    </row>
    <row r="24" ht="39" customHeight="1" s="94">
      <c r="A24" s="86" t="inlineStr">
        <is>
          <t>Item
序号</t>
        </is>
      </c>
      <c r="B24" s="86" t="inlineStr">
        <is>
          <t>Description
产品/服务描述</t>
        </is>
      </c>
      <c r="C24" s="97" t="n"/>
      <c r="D24" s="86" t="inlineStr">
        <is>
          <t>SAP Cost Center
成本中心</t>
        </is>
      </c>
      <c r="E24" s="86" t="inlineStr">
        <is>
          <t>Unit Price
不含税单价</t>
        </is>
      </c>
      <c r="F24" s="86" t="inlineStr">
        <is>
          <t>Quantity
数量</t>
        </is>
      </c>
      <c r="G24" s="86" t="inlineStr">
        <is>
          <t>Total Price
不含税总价</t>
        </is>
      </c>
      <c r="I24" s="115" t="inlineStr">
        <is>
          <t>IDR  印尼盾</t>
        </is>
      </c>
      <c r="M24" s="39" t="inlineStr">
        <is>
          <t>Line Description Details
费用项目明细</t>
        </is>
      </c>
      <c r="N24" s="41" t="n"/>
      <c r="O24" s="39" t="inlineStr">
        <is>
          <t>SAP Cost Center Description
成本中心描述</t>
        </is>
      </c>
    </row>
    <row r="25" ht="27" customFormat="1" customHeight="1" s="9">
      <c r="A25" s="14" t="n">
        <v>1</v>
      </c>
      <c r="B25" s="87" t="n"/>
      <c r="C25" s="100" t="n"/>
      <c r="D25" s="20" t="n"/>
      <c r="E25" s="116" t="n"/>
      <c r="F25" s="17" t="n"/>
      <c r="G25" s="116" t="n"/>
      <c r="I25" s="117" t="inlineStr">
        <is>
          <t>AED  阿联酋迪拉姆</t>
        </is>
      </c>
      <c r="L25" s="28">
        <f>IF(LEN($D25)=9,IF(OR(LEFT($D25,4)="111-",LEFT($D25,4)="119-"),"OK","NO"),"NA")</f>
        <v/>
      </c>
      <c r="M25" s="31">
        <f>IF(B25="","",IF(L25="",B25,#REF!&amp;"-"&amp;B25))</f>
        <v/>
      </c>
      <c r="N25" s="42" t="n"/>
      <c r="O25" s="32">
        <f>_xlfn.XLOOKUP($D25,'Cost Center'!$A:$A,'Cost Center'!$B:$B)</f>
        <v/>
      </c>
    </row>
    <row r="26" ht="25.5" customFormat="1" customHeight="1" s="9">
      <c r="A26" s="14" t="n">
        <v>2</v>
      </c>
      <c r="B26" s="65" t="n"/>
      <c r="C26" s="100" t="n"/>
      <c r="D26" s="20" t="n"/>
      <c r="E26" s="116" t="n"/>
      <c r="F26" s="17" t="n"/>
      <c r="G26" s="116" t="n"/>
      <c r="I26" s="115" t="inlineStr">
        <is>
          <t>SAR  沙亚币</t>
        </is>
      </c>
      <c r="L26" s="28">
        <f>IF(LEN($D26)=9,IF(OR(LEFT($D26,4)="111-",LEFT($D26,4)="119-"),"OK","NO"),"NA")</f>
        <v/>
      </c>
      <c r="M26" s="31">
        <f>IF(B26="","",IF(L26="",B26,#REF!&amp;"-"&amp;B26))</f>
        <v/>
      </c>
      <c r="N26" s="42" t="n"/>
      <c r="O26" s="32">
        <f>_xlfn.XLOOKUP($D26,'Cost Center'!$A:$A,'Cost Center'!$B:$B)</f>
        <v/>
      </c>
    </row>
    <row r="27" ht="25.5" customFormat="1" customHeight="1" s="9">
      <c r="A27" s="14" t="n">
        <v>3</v>
      </c>
      <c r="B27" s="67" t="n"/>
      <c r="C27" s="100" t="n"/>
      <c r="D27" s="21" t="n"/>
      <c r="E27" s="116" t="n"/>
      <c r="F27" s="17" t="n"/>
      <c r="G27" s="116" t="n"/>
      <c r="I27" s="115" t="n"/>
      <c r="L27" s="28">
        <f>IF(LEN($D27)=9,IF(OR(LEFT($D27,4)="111-",LEFT($D27,4)="119-"),"OK","NO"),"NA")</f>
        <v/>
      </c>
      <c r="M27" s="31">
        <f>IF(B27="","",IF(L27="",B27,#REF!&amp;"-"&amp;B27))</f>
        <v/>
      </c>
      <c r="N27" s="42" t="n"/>
      <c r="O27" s="32">
        <f>_xlfn.XLOOKUP($D27,'Cost Center'!$A:$A,'Cost Center'!$B:$B)</f>
        <v/>
      </c>
    </row>
    <row r="28" ht="25.5" customFormat="1" customHeight="1" s="9">
      <c r="A28" s="14" t="n">
        <v>4</v>
      </c>
      <c r="B28" s="67" t="n"/>
      <c r="C28" s="100" t="n"/>
      <c r="D28" s="21" t="n"/>
      <c r="E28" s="118" t="n"/>
      <c r="F28" s="25" t="n"/>
      <c r="G28" s="118" t="n"/>
      <c r="I28" s="115" t="n"/>
      <c r="L28" s="28">
        <f>IF(LEN($D28)=9,IF(OR(LEFT($D28,4)="111-",LEFT($D28,4)="119-"),"OK","NO"),"NA")</f>
        <v/>
      </c>
      <c r="M28" s="31">
        <f>IF(B28="","",IF(L28="",B28,#REF!&amp;"-"&amp;B28))</f>
        <v/>
      </c>
      <c r="N28" s="42" t="n"/>
      <c r="O28" s="32">
        <f>_xlfn.XLOOKUP($D28,'Cost Center'!$A:$A,'Cost Center'!$B:$B)</f>
        <v/>
      </c>
    </row>
    <row r="29" ht="25.5" customFormat="1" customHeight="1" s="9">
      <c r="A29" s="14" t="n">
        <v>5</v>
      </c>
      <c r="B29" s="67" t="n"/>
      <c r="C29" s="100" t="n"/>
      <c r="D29" s="21" t="n"/>
      <c r="E29" s="118" t="n"/>
      <c r="F29" s="25" t="n"/>
      <c r="G29" s="118" t="n"/>
      <c r="I29" s="115" t="n"/>
      <c r="L29" s="28">
        <f>IF(LEN($D29)=9,IF(OR(LEFT($D29,4)="111-",LEFT($D29,4)="119-"),"OK","NO"),"NA")</f>
        <v/>
      </c>
      <c r="M29" s="31">
        <f>IF(B29="","",IF(L29="",B29,#REF!&amp;"-"&amp;B29))</f>
        <v/>
      </c>
      <c r="N29" s="42" t="n"/>
      <c r="O29" s="32">
        <f>_xlfn.XLOOKUP($D29,'Cost Center'!$A:$A,'Cost Center'!$B:$B)</f>
        <v/>
      </c>
    </row>
    <row r="30" ht="25.5" customFormat="1" customHeight="1" s="9">
      <c r="A30" s="14" t="n">
        <v>6</v>
      </c>
      <c r="B30" s="67" t="n"/>
      <c r="C30" s="100" t="n"/>
      <c r="D30" s="21" t="n"/>
      <c r="E30" s="118" t="n"/>
      <c r="F30" s="25" t="n"/>
      <c r="G30" s="118" t="n"/>
      <c r="I30" s="115" t="n"/>
      <c r="L30" s="28">
        <f>IF(LEN($D30)=9,IF(OR(LEFT($D30,4)="111-",LEFT($D30,4)="119-"),"OK","NO"),"NA")</f>
        <v/>
      </c>
      <c r="M30" s="31">
        <f>IF(B30="","",IF(L30="",B30,#REF!&amp;"-"&amp;B30))</f>
        <v/>
      </c>
      <c r="N30" s="42" t="n"/>
      <c r="O30" s="32">
        <f>_xlfn.XLOOKUP($D30,'Cost Center'!$A:$A,'Cost Center'!$B:$B)</f>
        <v/>
      </c>
    </row>
    <row r="31" ht="25.5" customFormat="1" customHeight="1" s="9">
      <c r="A31" s="14" t="n">
        <v>7</v>
      </c>
      <c r="B31" s="67" t="n"/>
      <c r="C31" s="100" t="n"/>
      <c r="D31" s="21" t="n"/>
      <c r="E31" s="118" t="n"/>
      <c r="F31" s="25" t="n"/>
      <c r="G31" s="118" t="n"/>
      <c r="I31" s="115" t="n"/>
      <c r="L31" s="28">
        <f>IF(LEN($D31)=9,IF(OR(LEFT($D31,4)="111-",LEFT($D31,4)="119-"),"OK","NO"),"NA")</f>
        <v/>
      </c>
      <c r="M31" s="31">
        <f>IF(B31="","",IF(L31="",B31,#REF!&amp;"-"&amp;B31))</f>
        <v/>
      </c>
      <c r="N31" s="42" t="n"/>
      <c r="O31" s="32">
        <f>_xlfn.XLOOKUP($D31,'Cost Center'!$A:$A,'Cost Center'!$B:$B)</f>
        <v/>
      </c>
    </row>
    <row r="32" ht="25.5" customFormat="1" customHeight="1" s="9">
      <c r="A32" s="14" t="n">
        <v>8</v>
      </c>
      <c r="B32" s="67" t="n"/>
      <c r="C32" s="100" t="n"/>
      <c r="D32" s="21" t="n"/>
      <c r="E32" s="118" t="n"/>
      <c r="F32" s="25" t="n"/>
      <c r="G32" s="118" t="n"/>
      <c r="I32" s="115" t="n"/>
      <c r="L32" s="28">
        <f>IF(LEN($D32)=9,IF(OR(LEFT($D32,4)="111-",LEFT($D32,4)="119-"),"OK","NO"),"NA")</f>
        <v/>
      </c>
      <c r="M32" s="31">
        <f>IF(B32="","",IF(L32="",B32,#REF!&amp;"-"&amp;B32))</f>
        <v/>
      </c>
      <c r="N32" s="42" t="n"/>
      <c r="O32" s="32">
        <f>_xlfn.XLOOKUP($D32,'Cost Center'!$A:$A,'Cost Center'!$B:$B)</f>
        <v/>
      </c>
    </row>
    <row r="33" ht="25.5" customFormat="1" customHeight="1" s="9">
      <c r="A33" s="14" t="n">
        <v>9</v>
      </c>
      <c r="B33" s="67" t="n"/>
      <c r="C33" s="100" t="n"/>
      <c r="D33" s="21" t="n"/>
      <c r="E33" s="118" t="n"/>
      <c r="F33" s="25" t="n"/>
      <c r="G33" s="118" t="n"/>
      <c r="I33" s="115" t="n"/>
      <c r="L33" s="28">
        <f>IF(LEN($D33)=9,IF(OR(LEFT($D33,4)="111-",LEFT($D33,4)="119-"),"OK","NO"),"NA")</f>
        <v/>
      </c>
      <c r="M33" s="31">
        <f>IF(B33="","",IF(L33="",B33,#REF!&amp;"-"&amp;B33))</f>
        <v/>
      </c>
      <c r="N33" s="42" t="n"/>
      <c r="O33" s="32">
        <f>_xlfn.XLOOKUP($D33,'Cost Center'!$A:$A,'Cost Center'!$B:$B)</f>
        <v/>
      </c>
    </row>
    <row r="34" ht="25.5" customFormat="1" customHeight="1" s="9">
      <c r="A34" s="14" t="n">
        <v>10</v>
      </c>
      <c r="B34" s="67" t="n"/>
      <c r="C34" s="100" t="n"/>
      <c r="D34" s="21" t="n"/>
      <c r="E34" s="118" t="n"/>
      <c r="F34" s="25" t="n"/>
      <c r="G34" s="118" t="n"/>
      <c r="I34" s="115" t="n"/>
      <c r="L34" s="28">
        <f>IF(LEN($D34)=9,IF(OR(LEFT($D34,4)="111-",LEFT($D34,4)="119-"),"OK","NO"),"NA")</f>
        <v/>
      </c>
      <c r="M34" s="31">
        <f>IF(B34="","",IF(L34="",B34,#REF!&amp;"-"&amp;B34))</f>
        <v/>
      </c>
      <c r="N34" s="42" t="n"/>
      <c r="O34" s="32">
        <f>_xlfn.XLOOKUP($D34,'Cost Center'!$A:$A,'Cost Center'!$B:$B)</f>
        <v/>
      </c>
    </row>
    <row r="35" ht="25.5" customFormat="1" customHeight="1" s="9">
      <c r="A35" s="14" t="n">
        <v>11</v>
      </c>
      <c r="B35" s="67" t="n"/>
      <c r="C35" s="100" t="n"/>
      <c r="D35" s="21" t="n"/>
      <c r="E35" s="118" t="n"/>
      <c r="F35" s="25" t="n"/>
      <c r="G35" s="118" t="n"/>
      <c r="I35" s="115" t="n"/>
      <c r="L35" s="28">
        <f>IF(LEN($D35)=9,IF(OR(LEFT($D35,4)="111-",LEFT($D35,4)="119-"),"OK","NO"),"NA")</f>
        <v/>
      </c>
      <c r="M35" s="31">
        <f>IF(B35="","",IF(L35="",B35,#REF!&amp;"-"&amp;B35))</f>
        <v/>
      </c>
      <c r="N35" s="42" t="n"/>
      <c r="O35" s="32">
        <f>_xlfn.XLOOKUP($D35,'Cost Center'!$A:$A,'Cost Center'!$B:$B)</f>
        <v/>
      </c>
    </row>
    <row r="36" ht="25.5" customFormat="1" customHeight="1" s="9">
      <c r="A36" s="14" t="n">
        <v>12</v>
      </c>
      <c r="B36" s="67" t="n"/>
      <c r="C36" s="100" t="n"/>
      <c r="D36" s="21" t="n"/>
      <c r="E36" s="118" t="n"/>
      <c r="F36" s="25" t="n"/>
      <c r="G36" s="118" t="n"/>
      <c r="I36" s="115" t="n"/>
      <c r="L36" s="28">
        <f>IF(LEN($D36)=9,IF(OR(LEFT($D36,4)="111-",LEFT($D36,4)="119-"),"OK","NO"),"NA")</f>
        <v/>
      </c>
      <c r="M36" s="31">
        <f>IF(B36="","",IF(L36="",B36,#REF!&amp;"-"&amp;B36))</f>
        <v/>
      </c>
      <c r="N36" s="42" t="n"/>
      <c r="O36" s="32">
        <f>_xlfn.XLOOKUP($D36,'Cost Center'!$A:$A,'Cost Center'!$B:$B)</f>
        <v/>
      </c>
    </row>
    <row r="37" ht="25.5" customFormat="1" customHeight="1" s="9">
      <c r="A37" s="14" t="n">
        <v>13</v>
      </c>
      <c r="B37" s="67" t="n"/>
      <c r="C37" s="100" t="n"/>
      <c r="D37" s="21" t="n"/>
      <c r="E37" s="118" t="n"/>
      <c r="F37" s="25" t="n"/>
      <c r="G37" s="118" t="n"/>
      <c r="I37" s="115" t="n"/>
      <c r="L37" s="28">
        <f>IF(LEN($D37)=9,IF(OR(LEFT($D37,4)="111-",LEFT($D37,4)="119-"),"OK","NO"),"NA")</f>
        <v/>
      </c>
      <c r="M37" s="31">
        <f>IF(B37="","",IF(L37="",B37,#REF!&amp;"-"&amp;B37))</f>
        <v/>
      </c>
      <c r="N37" s="42" t="n"/>
      <c r="O37" s="32">
        <f>_xlfn.XLOOKUP($D37,'Cost Center'!$A:$A,'Cost Center'!$B:$B)</f>
        <v/>
      </c>
    </row>
    <row r="38" ht="25.5" customFormat="1" customHeight="1" s="9">
      <c r="A38" s="14" t="n">
        <v>14</v>
      </c>
      <c r="B38" s="67" t="n"/>
      <c r="C38" s="100" t="n"/>
      <c r="D38" s="21" t="n"/>
      <c r="E38" s="118" t="n"/>
      <c r="F38" s="25" t="n"/>
      <c r="G38" s="118" t="n"/>
      <c r="I38" s="115" t="n"/>
      <c r="L38" s="28">
        <f>IF(LEN($D38)=9,IF(OR(LEFT($D38,4)="111-",LEFT($D38,4)="119-"),"OK","NO"),"NA")</f>
        <v/>
      </c>
      <c r="M38" s="31">
        <f>IF(B38="","",IF(L38="",B38,#REF!&amp;"-"&amp;B38))</f>
        <v/>
      </c>
      <c r="N38" s="42" t="n"/>
      <c r="O38" s="32">
        <f>_xlfn.XLOOKUP($D38,'Cost Center'!$A:$A,'Cost Center'!$B:$B)</f>
        <v/>
      </c>
    </row>
    <row r="39" ht="25.5" customFormat="1" customHeight="1" s="9">
      <c r="A39" s="14" t="n">
        <v>15</v>
      </c>
      <c r="B39" s="67" t="n"/>
      <c r="C39" s="100" t="n"/>
      <c r="D39" s="21" t="n"/>
      <c r="E39" s="118" t="n"/>
      <c r="F39" s="25" t="n"/>
      <c r="G39" s="118" t="n"/>
      <c r="I39" s="115" t="n"/>
      <c r="L39" s="28">
        <f>IF(LEN($D39)=9,IF(OR(LEFT($D39,4)="111-",LEFT($D39,4)="119-"),"OK","NO"),"NA")</f>
        <v/>
      </c>
      <c r="M39" s="31">
        <f>IF(B39="","",IF(L39="",B39,#REF!&amp;"-"&amp;B39))</f>
        <v/>
      </c>
      <c r="N39" s="42" t="n"/>
      <c r="O39" s="32">
        <f>_xlfn.XLOOKUP($D39,'Cost Center'!$A:$A,'Cost Center'!$B:$B)</f>
        <v/>
      </c>
    </row>
    <row r="40" ht="25.5" customFormat="1" customHeight="1" s="9">
      <c r="A40" s="14" t="n">
        <v>16</v>
      </c>
      <c r="B40" s="67" t="n"/>
      <c r="C40" s="100" t="n"/>
      <c r="D40" s="21" t="n"/>
      <c r="E40" s="118" t="n"/>
      <c r="F40" s="25" t="n"/>
      <c r="G40" s="118" t="n"/>
      <c r="I40" s="115" t="n"/>
      <c r="L40" s="28">
        <f>IF(LEN($D40)=9,IF(OR(LEFT($D40,4)="111-",LEFT($D40,4)="119-"),"OK","NO"),"NA")</f>
        <v/>
      </c>
      <c r="M40" s="31">
        <f>IF(B40="","",IF(L40="",B40,#REF!&amp;"-"&amp;B40))</f>
        <v/>
      </c>
      <c r="N40" s="42" t="n"/>
      <c r="O40" s="32">
        <f>_xlfn.XLOOKUP($D40,'Cost Center'!$A:$A,'Cost Center'!$B:$B)</f>
        <v/>
      </c>
    </row>
    <row r="41" ht="25.5" customFormat="1" customHeight="1" s="9">
      <c r="A41" s="14" t="n">
        <v>17</v>
      </c>
      <c r="B41" s="67" t="n"/>
      <c r="C41" s="100" t="n"/>
      <c r="D41" s="21" t="n"/>
      <c r="E41" s="118" t="n"/>
      <c r="F41" s="25" t="n"/>
      <c r="G41" s="118" t="n"/>
      <c r="I41" s="115" t="n"/>
      <c r="L41" s="28">
        <f>IF(LEN($D41)=9,IF(OR(LEFT($D41,4)="111-",LEFT($D41,4)="119-"),"OK","NO"),"NA")</f>
        <v/>
      </c>
      <c r="M41" s="31">
        <f>IF(B41="","",IF(L41="",B41,#REF!&amp;"-"&amp;B41))</f>
        <v/>
      </c>
      <c r="N41" s="42" t="n"/>
      <c r="O41" s="32">
        <f>_xlfn.XLOOKUP($D41,'Cost Center'!$A:$A,'Cost Center'!$B:$B)</f>
        <v/>
      </c>
    </row>
    <row r="42" ht="25.5" customFormat="1" customHeight="1" s="9">
      <c r="A42" s="14" t="n">
        <v>18</v>
      </c>
      <c r="B42" s="67" t="n"/>
      <c r="C42" s="100" t="n"/>
      <c r="D42" s="21" t="n"/>
      <c r="E42" s="118" t="n"/>
      <c r="F42" s="25" t="n"/>
      <c r="G42" s="118" t="n"/>
      <c r="I42" s="115" t="n"/>
      <c r="L42" s="28">
        <f>IF(LEN($D42)=9,IF(OR(LEFT($D42,4)="111-",LEFT($D42,4)="119-"),"OK","NO"),"NA")</f>
        <v/>
      </c>
      <c r="M42" s="31">
        <f>IF(B42="","",IF(L42="",B42,#REF!&amp;"-"&amp;B42))</f>
        <v/>
      </c>
      <c r="N42" s="42" t="n"/>
      <c r="O42" s="32">
        <f>_xlfn.XLOOKUP($D42,'Cost Center'!$A:$A,'Cost Center'!$B:$B)</f>
        <v/>
      </c>
    </row>
    <row r="43" ht="25.5" customFormat="1" customHeight="1" s="9">
      <c r="A43" s="14" t="n">
        <v>19</v>
      </c>
      <c r="B43" s="67" t="n"/>
      <c r="C43" s="100" t="n"/>
      <c r="D43" s="21" t="n"/>
      <c r="E43" s="118" t="n"/>
      <c r="F43" s="25" t="n"/>
      <c r="G43" s="118" t="n"/>
      <c r="I43" s="115" t="n"/>
      <c r="L43" s="28">
        <f>IF(LEN($D43)=9,IF(OR(LEFT($D43,4)="111-",LEFT($D43,4)="119-"),"OK","NO"),"NA")</f>
        <v/>
      </c>
      <c r="M43" s="31">
        <f>IF(B43="","",IF(L43="",B43,#REF!&amp;"-"&amp;B43))</f>
        <v/>
      </c>
      <c r="N43" s="42" t="n"/>
      <c r="O43" s="32">
        <f>_xlfn.XLOOKUP($D43,'Cost Center'!$A:$A,'Cost Center'!$B:$B)</f>
        <v/>
      </c>
    </row>
    <row r="44" ht="25.5" customFormat="1" customHeight="1" s="9">
      <c r="A44" s="14" t="n">
        <v>20</v>
      </c>
      <c r="B44" s="67" t="n"/>
      <c r="C44" s="100" t="n"/>
      <c r="D44" s="21" t="n"/>
      <c r="E44" s="118" t="n"/>
      <c r="F44" s="25" t="n"/>
      <c r="G44" s="118" t="n"/>
      <c r="I44" s="115" t="n"/>
      <c r="L44" s="28">
        <f>IF(LEN($D44)=9,IF(OR(LEFT($D44,4)="111-",LEFT($D44,4)="119-"),"OK","NO"),"NA")</f>
        <v/>
      </c>
      <c r="M44" s="31">
        <f>IF(B44="","",IF(L44="",B44,#REF!&amp;"-"&amp;B44))</f>
        <v/>
      </c>
      <c r="N44" s="42" t="n"/>
      <c r="O44" s="32">
        <f>_xlfn.XLOOKUP($D44,'Cost Center'!$A:$A,'Cost Center'!$B:$B)</f>
        <v/>
      </c>
    </row>
    <row r="45" ht="25.5" customFormat="1" customHeight="1" s="9">
      <c r="A45" s="14" t="n">
        <v>21</v>
      </c>
      <c r="B45" s="67" t="n"/>
      <c r="C45" s="100" t="n"/>
      <c r="D45" s="21" t="n"/>
      <c r="E45" s="118" t="n"/>
      <c r="F45" s="25" t="n"/>
      <c r="G45" s="118" t="n"/>
      <c r="I45" s="115" t="n"/>
      <c r="L45" s="28">
        <f>IF(LEN($D45)=9,IF(OR(LEFT($D45,4)="111-",LEFT($D45,4)="119-"),"OK","NO"),"NA")</f>
        <v/>
      </c>
      <c r="M45" s="31">
        <f>IF(B45="","",IF(L45="",B45,#REF!&amp;"-"&amp;B45))</f>
        <v/>
      </c>
      <c r="N45" s="42" t="n"/>
      <c r="O45" s="32">
        <f>_xlfn.XLOOKUP($D45,'Cost Center'!$A:$A,'Cost Center'!$B:$B)</f>
        <v/>
      </c>
    </row>
    <row r="46" ht="25.5" customFormat="1" customHeight="1" s="9">
      <c r="A46" s="14" t="n">
        <v>22</v>
      </c>
      <c r="B46" s="67" t="n"/>
      <c r="C46" s="100" t="n"/>
      <c r="D46" s="21" t="n"/>
      <c r="E46" s="118" t="n"/>
      <c r="F46" s="25" t="n"/>
      <c r="G46" s="118" t="n"/>
      <c r="I46" s="115" t="n"/>
      <c r="L46" s="28">
        <f>IF(LEN($D46)=9,IF(OR(LEFT($D46,4)="111-",LEFT($D46,4)="119-"),"OK","NO"),"NA")</f>
        <v/>
      </c>
      <c r="M46" s="31">
        <f>IF(B46="","",IF(L46="",B46,#REF!&amp;"-"&amp;B46))</f>
        <v/>
      </c>
      <c r="N46" s="42" t="n"/>
      <c r="O46" s="32">
        <f>_xlfn.XLOOKUP($D46,'Cost Center'!$A:$A,'Cost Center'!$B:$B)</f>
        <v/>
      </c>
    </row>
    <row r="47" ht="25.5" customFormat="1" customHeight="1" s="9">
      <c r="A47" s="14" t="n">
        <v>23</v>
      </c>
      <c r="B47" s="67" t="n"/>
      <c r="C47" s="100" t="n"/>
      <c r="D47" s="21" t="n"/>
      <c r="E47" s="118" t="n"/>
      <c r="F47" s="25" t="n"/>
      <c r="G47" s="118" t="n"/>
      <c r="I47" s="115" t="n"/>
      <c r="L47" s="28">
        <f>IF(LEN($D47)=9,IF(OR(LEFT($D47,4)="111-",LEFT($D47,4)="119-"),"OK","NO"),"NA")</f>
        <v/>
      </c>
      <c r="M47" s="31">
        <f>IF(B47="","",IF(L47="",B47,#REF!&amp;"-"&amp;B47))</f>
        <v/>
      </c>
      <c r="N47" s="42" t="n"/>
      <c r="O47" s="32">
        <f>_xlfn.XLOOKUP($D47,'Cost Center'!$A:$A,'Cost Center'!$B:$B)</f>
        <v/>
      </c>
    </row>
    <row r="48" ht="25.5" customFormat="1" customHeight="1" s="9">
      <c r="A48" s="14" t="n">
        <v>24</v>
      </c>
      <c r="B48" s="67" t="n"/>
      <c r="C48" s="100" t="n"/>
      <c r="D48" s="21" t="n"/>
      <c r="E48" s="118" t="n"/>
      <c r="F48" s="25" t="n"/>
      <c r="G48" s="118" t="n"/>
      <c r="L48" s="28">
        <f>IF(LEN($D48)=9,IF(OR(LEFT($D48,4)="111-",LEFT($D48,4)="119-"),"OK","NO"),"NA")</f>
        <v/>
      </c>
      <c r="M48" s="31">
        <f>IF(B48="","",IF(L48="",B48,#REF!&amp;"-"&amp;B48))</f>
        <v/>
      </c>
      <c r="N48" s="42" t="n"/>
      <c r="O48" s="32">
        <f>_xlfn.XLOOKUP($D48,'Cost Center'!$A:$A,'Cost Center'!$B:$B)</f>
        <v/>
      </c>
    </row>
    <row r="49" ht="25.5" customFormat="1" customHeight="1" s="9">
      <c r="A49" s="14" t="n">
        <v>25</v>
      </c>
      <c r="B49" s="67" t="n"/>
      <c r="C49" s="100" t="n"/>
      <c r="D49" s="21" t="n"/>
      <c r="E49" s="118" t="n"/>
      <c r="F49" s="25" t="n"/>
      <c r="G49" s="118" t="n"/>
      <c r="L49" s="28">
        <f>IF(LEN($D49)=9,IF(OR(LEFT($D49,4)="111-",LEFT($D49,4)="119-"),"OK","NO"),"NA")</f>
        <v/>
      </c>
      <c r="M49" s="31">
        <f>IF(B49="","",IF(L49="",B49,#REF!&amp;"-"&amp;B49))</f>
        <v/>
      </c>
      <c r="N49" s="42" t="n"/>
      <c r="O49" s="32">
        <f>_xlfn.XLOOKUP($D49,'Cost Center'!$A:$A,'Cost Center'!$B:$B)</f>
        <v/>
      </c>
    </row>
    <row r="50" ht="25.5" customFormat="1" customHeight="1" s="9">
      <c r="A50" s="14" t="n">
        <v>26</v>
      </c>
      <c r="B50" s="67" t="n"/>
      <c r="C50" s="100" t="n"/>
      <c r="D50" s="21" t="n"/>
      <c r="E50" s="118" t="n"/>
      <c r="F50" s="25" t="n"/>
      <c r="G50" s="118" t="n"/>
      <c r="L50" s="28">
        <f>IF(LEN($D50)=9,IF(OR(LEFT($D50,4)="111-",LEFT($D50,4)="119-"),"OK","NO"),"NA")</f>
        <v/>
      </c>
      <c r="M50" s="31">
        <f>IF(B50="","",IF(L50="",B50,#REF!&amp;"-"&amp;B50))</f>
        <v/>
      </c>
      <c r="N50" s="42" t="n"/>
      <c r="O50" s="32">
        <f>_xlfn.XLOOKUP($D50,'Cost Center'!$A:$A,'Cost Center'!$B:$B)</f>
        <v/>
      </c>
    </row>
    <row r="51" ht="25.5" customFormat="1" customHeight="1" s="9">
      <c r="A51" s="14" t="n">
        <v>27</v>
      </c>
      <c r="B51" s="67" t="n"/>
      <c r="C51" s="100" t="n"/>
      <c r="D51" s="21" t="n"/>
      <c r="E51" s="118" t="n"/>
      <c r="F51" s="25" t="n"/>
      <c r="G51" s="118" t="n"/>
      <c r="L51" s="28">
        <f>IF(LEN($D51)=9,IF(OR(LEFT($D51,4)="111-",LEFT($D51,4)="119-"),"OK","NO"),"NA")</f>
        <v/>
      </c>
      <c r="M51" s="31">
        <f>IF(B51="","",IF(L51="",B51,#REF!&amp;"-"&amp;B51))</f>
        <v/>
      </c>
      <c r="N51" s="42" t="n"/>
      <c r="O51" s="32">
        <f>_xlfn.XLOOKUP($D51,'Cost Center'!$A:$A,'Cost Center'!$B:$B)</f>
        <v/>
      </c>
    </row>
    <row r="52" ht="25.5" customFormat="1" customHeight="1" s="9">
      <c r="A52" s="14" t="n">
        <v>28</v>
      </c>
      <c r="B52" s="67" t="n"/>
      <c r="C52" s="100" t="n"/>
      <c r="D52" s="21" t="n"/>
      <c r="E52" s="118" t="n"/>
      <c r="F52" s="25" t="n"/>
      <c r="G52" s="118" t="n"/>
      <c r="L52" s="28">
        <f>IF(LEN($D52)=9,IF(OR(LEFT($D52,4)="111-",LEFT($D52,4)="119-"),"OK","NO"),"NA")</f>
        <v/>
      </c>
      <c r="M52" s="31">
        <f>IF(B52="","",IF(L52="",B52,#REF!&amp;"-"&amp;B52))</f>
        <v/>
      </c>
      <c r="N52" s="42" t="n"/>
      <c r="O52" s="32">
        <f>_xlfn.XLOOKUP($D52,'Cost Center'!$A:$A,'Cost Center'!$B:$B)</f>
        <v/>
      </c>
    </row>
    <row r="53" ht="25.5" customFormat="1" customHeight="1" s="9">
      <c r="A53" s="14" t="n">
        <v>29</v>
      </c>
      <c r="B53" s="67" t="n"/>
      <c r="C53" s="100" t="n"/>
      <c r="D53" s="21" t="n"/>
      <c r="E53" s="118" t="n"/>
      <c r="F53" s="25" t="n"/>
      <c r="G53" s="118" t="n"/>
      <c r="L53" s="28">
        <f>IF(LEN($D53)=9,IF(OR(LEFT($D53,4)="111-",LEFT($D53,4)="119-"),"OK","NO"),"NA")</f>
        <v/>
      </c>
      <c r="M53" s="31">
        <f>IF(B53="","",IF(L53="",B53,#REF!&amp;"-"&amp;B53))</f>
        <v/>
      </c>
      <c r="N53" s="42" t="n"/>
      <c r="O53" s="32">
        <f>_xlfn.XLOOKUP($D53,'Cost Center'!$A:$A,'Cost Center'!$B:$B)</f>
        <v/>
      </c>
    </row>
    <row r="54" ht="25.5" customFormat="1" customHeight="1" s="9">
      <c r="A54" s="14" t="n">
        <v>30</v>
      </c>
      <c r="B54" s="67" t="n"/>
      <c r="C54" s="100" t="n"/>
      <c r="D54" s="21" t="n"/>
      <c r="E54" s="118" t="n"/>
      <c r="F54" s="25" t="n"/>
      <c r="G54" s="118" t="n"/>
      <c r="L54" s="28">
        <f>IF(LEN($D54)=9,IF(OR(LEFT($D54,4)="111-",LEFT($D54,4)="119-"),"OK","NO"),"NA")</f>
        <v/>
      </c>
      <c r="M54" s="31">
        <f>IF(B54="","",IF(L54="",B54,#REF!&amp;"-"&amp;B54))</f>
        <v/>
      </c>
      <c r="N54" s="42" t="n"/>
      <c r="O54" s="32">
        <f>_xlfn.XLOOKUP($D54,'Cost Center'!$A:$A,'Cost Center'!$B:$B)</f>
        <v/>
      </c>
    </row>
    <row r="55" ht="36" customHeight="1" s="94">
      <c r="A55" s="35" t="n"/>
      <c r="B55" s="36" t="n"/>
      <c r="C55" s="36" t="n"/>
      <c r="D55" s="36" t="n"/>
      <c r="E55" s="51" t="inlineStr">
        <is>
          <t>Net Amount(Without VAT):
不含税金额:</t>
        </is>
      </c>
      <c r="F55" s="97" t="n"/>
      <c r="G55" s="119" t="n"/>
    </row>
    <row r="56" ht="36" customHeight="1" s="94">
      <c r="A56" s="35" t="n"/>
      <c r="B56" s="36" t="n"/>
      <c r="C56" s="36" t="n"/>
      <c r="D56" s="36" t="n"/>
      <c r="E56" s="51" t="inlineStr">
        <is>
          <t>Tax Amount:
税额：</t>
        </is>
      </c>
      <c r="F56" s="97" t="n"/>
      <c r="G56" s="119" t="n"/>
    </row>
    <row r="57" ht="36" customHeight="1" s="94">
      <c r="A57" s="35" t="n"/>
      <c r="B57" s="36" t="n"/>
      <c r="C57" s="36" t="n"/>
      <c r="D57" s="36" t="n"/>
      <c r="E57" s="51" t="inlineStr">
        <is>
          <t>Gross Amount(With VAT):
含税总金额:</t>
        </is>
      </c>
      <c r="F57" s="97" t="n"/>
      <c r="G57" s="120">
        <f>SUM(G55:G56)</f>
        <v/>
      </c>
    </row>
    <row r="58" ht="36" customHeight="1" s="94">
      <c r="A58" s="35" t="n"/>
      <c r="B58" s="36" t="n"/>
      <c r="C58" s="36" t="n"/>
      <c r="D58" s="36" t="n"/>
      <c r="E58" s="51" t="inlineStr">
        <is>
          <t>Tax Rate:
税率:</t>
        </is>
      </c>
      <c r="F58" s="97" t="n"/>
      <c r="G58" s="19" t="n"/>
    </row>
    <row r="59" ht="9.6" customHeight="1" s="94">
      <c r="A59" s="74" t="n"/>
      <c r="B59" s="96" t="n"/>
      <c r="C59" s="5" t="n"/>
      <c r="D59" s="5" t="n"/>
      <c r="E59" s="5" t="n"/>
      <c r="F59" s="5" t="n"/>
      <c r="G59" s="6" t="n"/>
    </row>
    <row r="60" ht="21" customFormat="1" customHeight="1" s="15">
      <c r="A60" s="15" t="inlineStr">
        <is>
          <t>*** 此表为开云中国集团内部系统使用的发票录入模板，任何付款申请都需填写此表，一次付款申请对应一个此表。</t>
        </is>
      </c>
      <c r="L60" s="27" t="n"/>
    </row>
    <row r="61" ht="21" customFormat="1" customHeight="1" s="33">
      <c r="A61" s="33" t="inlineStr">
        <is>
          <t xml:space="preserve">    填完此表后，请在邮件中附上此表Excel版本+PDF扫描版本，同时附上所有增值税发票，报价单，盖章版合同以及其他必要文件（均需扫描成PDF），最后发送邮件至指定邮箱。</t>
        </is>
      </c>
      <c r="L61" s="29" t="n"/>
    </row>
    <row r="62" ht="21" customFormat="1" customHeight="1" s="22">
      <c r="A62" s="33" t="inlineStr">
        <is>
          <t xml:space="preserve">    增值税专用发票的PDF/OFD/XML文件，请单独作为附件上传到邮件中，不要与其他文件混合打包在一个PDF中。随附标准邮件样式，请参考。</t>
        </is>
      </c>
      <c r="L62" s="30" t="n"/>
    </row>
    <row r="63" ht="21" customFormat="1" customHeight="1" s="22">
      <c r="A63" s="33" t="inlineStr">
        <is>
          <t xml:space="preserve">    增值税专用发票，一张票只能对应一个付款申请。如涉及多张专用发票，请分开填具付款申请。</t>
        </is>
      </c>
      <c r="L63" s="30" t="n"/>
    </row>
    <row r="64" ht="21" customFormat="1" customHeight="1" s="22">
      <c r="A64" s="22" t="inlineStr">
        <is>
          <t>*** 付款方联系人请填开云集团相关品牌各部门的具体联系人，邮箱地址请务必填写准确。</t>
        </is>
      </c>
      <c r="L64" s="30" t="n"/>
    </row>
    <row r="65" ht="21" customFormat="1" customHeight="1" s="22">
      <c r="A65" s="22" t="inlineStr">
        <is>
          <t>*** “产品/服务描述”需填写具体的购货或服务事项（包括费用所属期间），请避免单纯抄写增值税发票上的“货物或应税劳务、服务名称”一栏。</t>
        </is>
      </c>
      <c r="L65" s="30" t="n"/>
    </row>
    <row r="66" ht="21" customFormat="1" customHeight="1" s="22">
      <c r="A66" s="22" t="inlineStr">
        <is>
          <t>*** 明细行不够可自行插行添加。</t>
        </is>
      </c>
      <c r="L66" s="30" t="n"/>
    </row>
    <row r="67" ht="21" customFormat="1" customHeight="1" s="33">
      <c r="A67" s="33" t="inlineStr">
        <is>
          <t>*** 如根据合同先支付预付款，发票后开。后补发票时，无需再进行以上指定邮箱的请款流程，可单独将发票发送给品牌业务部门联系人。</t>
        </is>
      </c>
      <c r="L67" s="29" t="n"/>
    </row>
    <row r="68" ht="21" customFormat="1" customHeight="1" s="22">
      <c r="A68" s="22" t="inlineStr">
        <is>
          <t>*** 此表请以电子档形式填写，避免手写造成不清晰，系统无法识别而退单。扫描时也需确保清晰度。</t>
        </is>
      </c>
      <c r="L68" s="30" t="n"/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sheetProtection selectLockedCells="0" selectUnlockedCells="0" algorithmName="SHA-512" sheet="1" objects="0" insertRows="0" insertHyperlinks="1" autoFilter="1" scenarios="0" formatColumns="1" deleteColumns="1" insertColumns="1" pivotTables="1" deleteRows="1" formatCells="0" saltValue="XeVcjbFBxTtQQ4ByqEMGmQ==" formatRows="0" sort="1" spinCount="100000" hashValue="wHlEMFT6EiDkrzrASTTWP7iD8yvoEvsTlN6hdLrsDUys6E2Jv1n9eFh0Q+dyKqjwP3ciH+DL7SGGXe6zIGNlbw=="/>
  <mergeCells count="89">
    <mergeCell ref="D20:E20"/>
    <mergeCell ref="A15:B15"/>
    <mergeCell ref="F16:G16"/>
    <mergeCell ref="D22:E22"/>
    <mergeCell ref="B31:C31"/>
    <mergeCell ref="D6:E6"/>
    <mergeCell ref="A7:B7"/>
    <mergeCell ref="F15:G15"/>
    <mergeCell ref="B38:C38"/>
    <mergeCell ref="D7:E7"/>
    <mergeCell ref="F23:G23"/>
    <mergeCell ref="B40:C40"/>
    <mergeCell ref="A17:B17"/>
    <mergeCell ref="B49:C49"/>
    <mergeCell ref="A22:B22"/>
    <mergeCell ref="B24:C24"/>
    <mergeCell ref="B33:C33"/>
    <mergeCell ref="B51:C51"/>
    <mergeCell ref="A19:B19"/>
    <mergeCell ref="B32:C32"/>
    <mergeCell ref="B26:C26"/>
    <mergeCell ref="B41:C41"/>
    <mergeCell ref="A9:B9"/>
    <mergeCell ref="B35:C35"/>
    <mergeCell ref="D10:E10"/>
    <mergeCell ref="A59:B59"/>
    <mergeCell ref="B25:C25"/>
    <mergeCell ref="F10:G10"/>
    <mergeCell ref="D19:E19"/>
    <mergeCell ref="E55:F55"/>
    <mergeCell ref="A11:B11"/>
    <mergeCell ref="F19:G19"/>
    <mergeCell ref="F6:G6"/>
    <mergeCell ref="B27:C27"/>
    <mergeCell ref="D11:E11"/>
    <mergeCell ref="A14:C14"/>
    <mergeCell ref="F5:G5"/>
    <mergeCell ref="F20:G20"/>
    <mergeCell ref="F18:G18"/>
    <mergeCell ref="F17:G17"/>
    <mergeCell ref="B53:C53"/>
    <mergeCell ref="B29:C29"/>
    <mergeCell ref="B37:C37"/>
    <mergeCell ref="D9:E9"/>
    <mergeCell ref="A8:B8"/>
    <mergeCell ref="F9:G9"/>
    <mergeCell ref="D15:E15"/>
    <mergeCell ref="A10:B10"/>
    <mergeCell ref="D23:E23"/>
    <mergeCell ref="E58:F58"/>
    <mergeCell ref="B54:C54"/>
    <mergeCell ref="A4:G4"/>
    <mergeCell ref="B43:C43"/>
    <mergeCell ref="F7:G7"/>
    <mergeCell ref="B52:C52"/>
    <mergeCell ref="B42:C42"/>
    <mergeCell ref="D17:E17"/>
    <mergeCell ref="A12:B12"/>
    <mergeCell ref="F8:G8"/>
    <mergeCell ref="B44:C44"/>
    <mergeCell ref="A21:B21"/>
    <mergeCell ref="B34:C34"/>
    <mergeCell ref="B28:C28"/>
    <mergeCell ref="A5:B5"/>
    <mergeCell ref="F22:G22"/>
    <mergeCell ref="A23:B23"/>
    <mergeCell ref="D12:E12"/>
    <mergeCell ref="E57:F57"/>
    <mergeCell ref="B30:C30"/>
    <mergeCell ref="D5:E5"/>
    <mergeCell ref="B45:C45"/>
    <mergeCell ref="E56:F56"/>
    <mergeCell ref="B47:C47"/>
    <mergeCell ref="F11:G11"/>
    <mergeCell ref="B46:C46"/>
    <mergeCell ref="A6:B6"/>
    <mergeCell ref="D14:G14"/>
    <mergeCell ref="B39:C39"/>
    <mergeCell ref="B48:C48"/>
    <mergeCell ref="F12:G12"/>
    <mergeCell ref="A16:B16"/>
    <mergeCell ref="A18:B18"/>
    <mergeCell ref="D16:E16"/>
    <mergeCell ref="D18:E18"/>
    <mergeCell ref="D8:E8"/>
    <mergeCell ref="A20:B20"/>
    <mergeCell ref="A13:B13"/>
    <mergeCell ref="B36:C36"/>
    <mergeCell ref="B50:C50"/>
  </mergeCells>
  <dataValidations count="2">
    <dataValidation sqref="F22:G22" showDropDown="0" showInputMessage="1" showErrorMessage="1" allowBlank="1" type="list">
      <formula1>$K$5:$K$11</formula1>
    </dataValidation>
    <dataValidation sqref="F8:G8" showDropDown="0" showInputMessage="1" showErrorMessage="1" allowBlank="0" type="list">
      <formula1>$I$5:$I$27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0" horizontalDpi="300" verticalDpi="300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34" sqref="G34"/>
    </sheetView>
  </sheetViews>
  <sheetFormatPr baseColWidth="8" defaultRowHeight="13.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J14" sqref="J14"/>
    </sheetView>
  </sheetViews>
  <sheetFormatPr baseColWidth="8" defaultRowHeight="13.5"/>
  <cols>
    <col width="17.875" bestFit="1" customWidth="1" style="94" min="1" max="1"/>
    <col width="34.25" bestFit="1" customWidth="1" style="94" min="2" max="2"/>
    <col width="22.75" bestFit="1" customWidth="1" style="94" min="3" max="3"/>
  </cols>
  <sheetData>
    <row r="1">
      <c r="A1" s="45" t="inlineStr">
        <is>
          <t>Internal order</t>
        </is>
      </c>
      <c r="B1" s="0" t="inlineStr">
        <is>
          <t>Internal order</t>
        </is>
      </c>
      <c r="C1" s="0" t="inlineStr">
        <is>
          <t>Person responsible</t>
        </is>
      </c>
    </row>
    <row r="2">
      <c r="A2" s="0" t="inlineStr">
        <is>
          <t>300600000001</t>
        </is>
      </c>
      <c r="B2" s="0" t="inlineStr">
        <is>
          <t>TRAINING-PRODUCT TRAINING</t>
        </is>
      </c>
      <c r="C2" s="0" t="inlineStr">
        <is>
          <t>SSOONG1</t>
        </is>
      </c>
    </row>
    <row r="3">
      <c r="A3" s="0" t="inlineStr">
        <is>
          <t>300600000002</t>
        </is>
      </c>
      <c r="B3" s="0" t="inlineStr">
        <is>
          <t>TRAINING-COLLECTION TRAINING</t>
        </is>
      </c>
      <c r="C3" s="0" t="inlineStr">
        <is>
          <t>SSOONG1</t>
        </is>
      </c>
    </row>
    <row r="4">
      <c r="A4" s="0" t="inlineStr">
        <is>
          <t>300600000003</t>
        </is>
      </c>
      <c r="B4" s="0" t="inlineStr">
        <is>
          <t>TRAINING-OTHERS</t>
        </is>
      </c>
      <c r="C4" s="0" t="inlineStr">
        <is>
          <t>SSOONG1</t>
        </is>
      </c>
    </row>
    <row r="5">
      <c r="A5" s="0" t="inlineStr">
        <is>
          <t>300600000004</t>
        </is>
      </c>
      <c r="B5" s="0" t="inlineStr">
        <is>
          <t>CRM-SPRING PREVIEW</t>
        </is>
      </c>
      <c r="C5" s="0" t="inlineStr">
        <is>
          <t>SSOONG1</t>
        </is>
      </c>
    </row>
    <row r="6">
      <c r="A6" s="0" t="inlineStr">
        <is>
          <t>300600000005</t>
        </is>
      </c>
      <c r="B6" s="0" t="inlineStr">
        <is>
          <t>TRAINING-ONBOARDING TRAINING</t>
        </is>
      </c>
      <c r="C6" s="0" t="inlineStr">
        <is>
          <t>SSOONG1</t>
        </is>
      </c>
    </row>
    <row r="7">
      <c r="A7" s="0" t="inlineStr">
        <is>
          <t>300600000006</t>
        </is>
      </c>
      <c r="B7" s="0" t="inlineStr">
        <is>
          <t>TRAINING-LEADERSHIP PROGRAM</t>
        </is>
      </c>
      <c r="C7" s="0" t="inlineStr">
        <is>
          <t>SSOONG1</t>
        </is>
      </c>
    </row>
    <row r="8">
      <c r="A8" s="0" t="inlineStr">
        <is>
          <t>300600000007</t>
        </is>
      </c>
      <c r="B8" s="0" t="inlineStr">
        <is>
          <t>TRAINING-TALENT WORKSHOP</t>
        </is>
      </c>
      <c r="C8" s="0" t="inlineStr">
        <is>
          <t>SSOONG1</t>
        </is>
      </c>
    </row>
    <row r="9">
      <c r="A9" s="0" t="inlineStr">
        <is>
          <t>300600000008</t>
        </is>
      </c>
      <c r="B9" s="0" t="inlineStr">
        <is>
          <t>TRAINING-TRAINING TOOLS</t>
        </is>
      </c>
      <c r="C9" s="0" t="inlineStr">
        <is>
          <t>SSOONG1</t>
        </is>
      </c>
    </row>
    <row r="10">
      <c r="A10" s="0" t="inlineStr">
        <is>
          <t>300600000009</t>
        </is>
      </c>
      <c r="B10" s="0" t="inlineStr">
        <is>
          <t>CRM-CAPSULE COLLAB LAUNCHES</t>
        </is>
      </c>
      <c r="C10" s="0" t="inlineStr">
        <is>
          <t>SSOONG1</t>
        </is>
      </c>
    </row>
    <row r="11">
      <c r="A11" s="0" t="inlineStr">
        <is>
          <t>300600000010</t>
        </is>
      </c>
      <c r="B11" s="0" t="inlineStr">
        <is>
          <t>GA-GS-ANNUAL/XMAS DINNER</t>
        </is>
      </c>
      <c r="C11" s="0" t="inlineStr">
        <is>
          <t>DLI13</t>
        </is>
      </c>
    </row>
    <row r="12">
      <c r="A12" s="0" t="inlineStr">
        <is>
          <t>300600000012</t>
        </is>
      </c>
      <c r="B12" s="0" t="inlineStr">
        <is>
          <t>GA-HR-EXTERNAL TRAINING</t>
        </is>
      </c>
      <c r="C12" s="0" t="inlineStr">
        <is>
          <t>DLI13</t>
        </is>
      </c>
    </row>
    <row r="13">
      <c r="A13" s="0" t="inlineStr">
        <is>
          <t>300600000013</t>
        </is>
      </c>
      <c r="B13" s="0" t="inlineStr">
        <is>
          <t>GA - HR - GIFT - OTHER SEASONAL</t>
        </is>
      </c>
      <c r="C13" s="0" t="inlineStr">
        <is>
          <t>DLI13</t>
        </is>
      </c>
    </row>
    <row r="14">
      <c r="A14" s="0" t="inlineStr">
        <is>
          <t>300600000014</t>
        </is>
      </c>
      <c r="B14" s="0" t="inlineStr">
        <is>
          <t>GA - HR - GIFT - XMAS</t>
        </is>
      </c>
      <c r="C14" s="0" t="inlineStr">
        <is>
          <t>DLI13</t>
        </is>
      </c>
    </row>
    <row r="15">
      <c r="A15" s="0" t="inlineStr">
        <is>
          <t>300600000023</t>
        </is>
      </c>
      <c r="B15" s="0" t="inlineStr">
        <is>
          <t>COMM-PR-CLT-CULTURAL AGENCY</t>
        </is>
      </c>
      <c r="C15" s="0" t="inlineStr">
        <is>
          <t>ASUN7</t>
        </is>
      </c>
    </row>
    <row r="16">
      <c r="A16" s="0" t="inlineStr">
        <is>
          <t>300600000024</t>
        </is>
      </c>
      <c r="B16" s="0" t="inlineStr">
        <is>
          <t>COMM-PR-CLT-PR/KOL AGENCY</t>
        </is>
      </c>
      <c r="C16" s="0" t="inlineStr">
        <is>
          <t>ASUN7</t>
        </is>
      </c>
    </row>
    <row r="17">
      <c r="A17" s="0" t="inlineStr">
        <is>
          <t>300600000025</t>
        </is>
      </c>
      <c r="B17" s="0" t="inlineStr">
        <is>
          <t>COMM-PR-CLT-PR CRISIS AGENCY</t>
        </is>
      </c>
      <c r="C17" s="0" t="inlineStr">
        <is>
          <t>ASUN7</t>
        </is>
      </c>
    </row>
    <row r="18">
      <c r="A18" s="0" t="inlineStr">
        <is>
          <t>300600000026</t>
        </is>
      </c>
      <c r="B18" s="0" t="inlineStr">
        <is>
          <t>COMM-PR-CLT-SOCIAL AGENCY</t>
        </is>
      </c>
      <c r="C18" s="0" t="inlineStr">
        <is>
          <t>ASUN7</t>
        </is>
      </c>
    </row>
    <row r="19">
      <c r="A19" s="0" t="inlineStr">
        <is>
          <t>300600000027</t>
        </is>
      </c>
      <c r="B19" s="0" t="inlineStr">
        <is>
          <t>COMM-PR-SMP-SPECIAL PROJECT</t>
        </is>
      </c>
      <c r="C19" s="0" t="inlineStr">
        <is>
          <t>ASUN7</t>
        </is>
      </c>
    </row>
    <row r="20">
      <c r="A20" s="0" t="inlineStr">
        <is>
          <t>300600000028</t>
        </is>
      </c>
      <c r="B20" s="0" t="inlineStr">
        <is>
          <t>COMM-PR-SMP-MINI PROGRAM</t>
        </is>
      </c>
      <c r="C20" s="0" t="inlineStr">
        <is>
          <t>ASUN7</t>
        </is>
      </c>
    </row>
    <row r="21">
      <c r="A21" s="0" t="inlineStr">
        <is>
          <t>300600000029</t>
        </is>
      </c>
      <c r="B21" s="0" t="inlineStr">
        <is>
          <t>COMM-PR-SMP-DOU</t>
        </is>
      </c>
      <c r="C21" s="0" t="inlineStr">
        <is>
          <t>ASUN7</t>
        </is>
      </c>
    </row>
    <row r="22">
      <c r="A22" s="0" t="inlineStr">
        <is>
          <t>300600000032</t>
        </is>
      </c>
      <c r="B22" s="0" t="inlineStr">
        <is>
          <t>COMM-PR-SAMPLE WINTER</t>
        </is>
      </c>
      <c r="C22" s="0" t="inlineStr">
        <is>
          <t>ASUN7</t>
        </is>
      </c>
    </row>
    <row r="23">
      <c r="A23" s="0" t="inlineStr">
        <is>
          <t>300600000033</t>
        </is>
      </c>
      <c r="B23" s="0" t="inlineStr">
        <is>
          <t>COMM-PR-WINTER SPRING</t>
        </is>
      </c>
      <c r="C23" s="0" t="inlineStr">
        <is>
          <t>ASUN7</t>
        </is>
      </c>
    </row>
    <row r="24">
      <c r="A24" s="0" t="inlineStr">
        <is>
          <t>300600000034</t>
        </is>
      </c>
      <c r="B24" s="0" t="inlineStr">
        <is>
          <t>COMM-PR-SPRING SUMMER</t>
        </is>
      </c>
      <c r="C24" s="0" t="inlineStr">
        <is>
          <t>ASUN7</t>
        </is>
      </c>
    </row>
    <row r="25">
      <c r="A25" s="0" t="inlineStr">
        <is>
          <t>300600000035</t>
        </is>
      </c>
      <c r="B25" s="0" t="inlineStr">
        <is>
          <t>COMM-PR-SUMMER FALL</t>
        </is>
      </c>
      <c r="C25" s="0" t="inlineStr">
        <is>
          <t>ASUN7</t>
        </is>
      </c>
    </row>
    <row r="26">
      <c r="A26" s="0" t="inlineStr">
        <is>
          <t>300600000036</t>
        </is>
      </c>
      <c r="B26" s="0" t="inlineStr">
        <is>
          <t>ALLCC-MNC-A/C CLEANING</t>
        </is>
      </c>
      <c r="C26" s="0" t="inlineStr">
        <is>
          <t>SCAI9</t>
        </is>
      </c>
    </row>
    <row r="27">
      <c r="A27" s="0" t="inlineStr">
        <is>
          <t>300600000037</t>
        </is>
      </c>
      <c r="B27" s="0" t="inlineStr">
        <is>
          <t>ALLCC-MNC-SECURITY</t>
        </is>
      </c>
      <c r="C27" s="0" t="inlineStr">
        <is>
          <t>SCAI9</t>
        </is>
      </c>
    </row>
    <row r="28">
      <c r="A28" s="0" t="inlineStr">
        <is>
          <t>300600000042</t>
        </is>
      </c>
      <c r="B28" s="0" t="inlineStr">
        <is>
          <t>ALLCC-SP RELATED</t>
        </is>
      </c>
      <c r="C28" s="0" t="inlineStr">
        <is>
          <t>SCAI9</t>
        </is>
      </c>
    </row>
    <row r="29">
      <c r="A29" s="0" t="inlineStr">
        <is>
          <t>300600000043</t>
        </is>
      </c>
      <c r="B29" s="0" t="inlineStr">
        <is>
          <t>ALLCC-MNC-REGULAR MAINTENANCE</t>
        </is>
      </c>
      <c r="C29" s="0" t="inlineStr">
        <is>
          <t>SCAI9</t>
        </is>
      </c>
    </row>
    <row r="30">
      <c r="A30" s="0" t="inlineStr">
        <is>
          <t>300600000047</t>
        </is>
      </c>
      <c r="B30" s="0" t="inlineStr">
        <is>
          <t>STORE-VM LIGHTBOX</t>
        </is>
      </c>
      <c r="C30" s="0" t="inlineStr">
        <is>
          <t>ALAM19</t>
        </is>
      </c>
    </row>
    <row r="31">
      <c r="A31" s="0" t="inlineStr">
        <is>
          <t>300600000048</t>
        </is>
      </c>
      <c r="B31" s="0" t="inlineStr">
        <is>
          <t>STORE-VM TOOLS</t>
        </is>
      </c>
      <c r="C31" s="0" t="inlineStr">
        <is>
          <t>ALAM19</t>
        </is>
      </c>
    </row>
    <row r="32">
      <c r="A32" s="0" t="inlineStr">
        <is>
          <t>300600000050</t>
        </is>
      </c>
      <c r="B32" s="0" t="inlineStr">
        <is>
          <t>ALLCC-LANDLORD BILLING RELATED</t>
        </is>
      </c>
      <c r="C32" s="0" t="inlineStr">
        <is>
          <t>CLIN24</t>
        </is>
      </c>
    </row>
    <row r="33">
      <c r="A33" s="0" t="inlineStr">
        <is>
          <t>300600000051</t>
        </is>
      </c>
      <c r="B33" s="0" t="inlineStr">
        <is>
          <t>CRM-WINTER PREVIEW</t>
        </is>
      </c>
      <c r="C33" s="0" t="inlineStr">
        <is>
          <t>SSOONG1</t>
        </is>
      </c>
    </row>
    <row r="34">
      <c r="A34" s="0" t="inlineStr">
        <is>
          <t>300600000052</t>
        </is>
      </c>
      <c r="B34" s="0" t="inlineStr">
        <is>
          <t>CRM-VIC EXPERIENCES</t>
        </is>
      </c>
      <c r="C34" s="0" t="inlineStr">
        <is>
          <t>SSOONG1</t>
        </is>
      </c>
    </row>
    <row r="35">
      <c r="A35" s="0" t="inlineStr">
        <is>
          <t>300600000053</t>
        </is>
      </c>
      <c r="B35" s="0" t="inlineStr">
        <is>
          <t>CRM-SUMMER PREVIEW</t>
        </is>
      </c>
      <c r="C35" s="0" t="inlineStr">
        <is>
          <t>SSOONG1</t>
        </is>
      </c>
    </row>
    <row r="36">
      <c r="A36" s="0" t="inlineStr">
        <is>
          <t>300600000054</t>
        </is>
      </c>
      <c r="B36" s="0" t="inlineStr">
        <is>
          <t>CRM-EOY</t>
        </is>
      </c>
      <c r="C36" s="0" t="inlineStr">
        <is>
          <t>SSOONG1</t>
        </is>
      </c>
    </row>
    <row r="37">
      <c r="A37" s="0" t="inlineStr">
        <is>
          <t>300600000055</t>
        </is>
      </c>
      <c r="B37" s="0" t="inlineStr">
        <is>
          <t>CRM-FALL PREVIEW</t>
        </is>
      </c>
      <c r="C37" s="0" t="inlineStr">
        <is>
          <t>SSOONG1</t>
        </is>
      </c>
    </row>
    <row r="38">
      <c r="A38" s="0" t="inlineStr">
        <is>
          <t>300600000056</t>
        </is>
      </c>
      <c r="B38" s="0" t="inlineStr">
        <is>
          <t>CRM-WOMEN'S DAY</t>
        </is>
      </c>
      <c r="C38" s="0" t="inlineStr">
        <is>
          <t>SSOONG1</t>
        </is>
      </c>
    </row>
    <row r="39">
      <c r="A39" s="0" t="inlineStr">
        <is>
          <t>300600000057</t>
        </is>
      </c>
      <c r="B39" s="0" t="inlineStr">
        <is>
          <t>CRM-PARENTS DAY</t>
        </is>
      </c>
      <c r="C39" s="0" t="inlineStr">
        <is>
          <t>SSOONG1</t>
        </is>
      </c>
    </row>
    <row r="40">
      <c r="A40" s="0" t="inlineStr">
        <is>
          <t>300600000058</t>
        </is>
      </c>
      <c r="B40" s="0" t="inlineStr">
        <is>
          <t>CRM-WINTER LAUNCH</t>
        </is>
      </c>
      <c r="C40" s="0" t="inlineStr">
        <is>
          <t>SSOONG1</t>
        </is>
      </c>
    </row>
    <row r="41">
      <c r="A41" s="0" t="inlineStr">
        <is>
          <t>300600000059</t>
        </is>
      </c>
      <c r="B41" s="0" t="inlineStr">
        <is>
          <t>CRM-STORE OPENINGS</t>
        </is>
      </c>
      <c r="C41" s="0" t="inlineStr">
        <is>
          <t>SSOONG1</t>
        </is>
      </c>
    </row>
    <row r="42">
      <c r="A42" s="0" t="inlineStr">
        <is>
          <t>300600000060</t>
        </is>
      </c>
      <c r="B42" s="0" t="inlineStr">
        <is>
          <t>CRM-GIFTING-BABY/BIRTHDAY</t>
        </is>
      </c>
      <c r="C42" s="0" t="inlineStr">
        <is>
          <t>SSOONG1</t>
        </is>
      </c>
    </row>
    <row r="43">
      <c r="A43" s="0" t="inlineStr">
        <is>
          <t>300600000061</t>
        </is>
      </c>
      <c r="B43" s="0" t="inlineStr">
        <is>
          <t>CRM-SUMMER LAUNCH</t>
        </is>
      </c>
      <c r="C43" s="0" t="inlineStr">
        <is>
          <t>SSOONG1</t>
        </is>
      </c>
    </row>
    <row r="44">
      <c r="A44" s="0" t="inlineStr">
        <is>
          <t>300600000062</t>
        </is>
      </c>
      <c r="B44" s="0" t="inlineStr">
        <is>
          <t>CRM-SPRING LAUNCH</t>
        </is>
      </c>
      <c r="C44" s="0" t="inlineStr">
        <is>
          <t>SSOONG1</t>
        </is>
      </c>
    </row>
    <row r="45">
      <c r="A45" s="0" t="inlineStr">
        <is>
          <t>300600000063</t>
        </is>
      </c>
      <c r="B45" s="0" t="inlineStr">
        <is>
          <t>CRM-FALL LAUNCH</t>
        </is>
      </c>
      <c r="C45" s="0" t="inlineStr">
        <is>
          <t>SSOONG1</t>
        </is>
      </c>
    </row>
    <row r="46">
      <c r="A46" s="0" t="inlineStr">
        <is>
          <t>300600000064</t>
        </is>
      </c>
      <c r="B46" s="0" t="inlineStr">
        <is>
          <t>TRAINING-CLIENT EXPERT WORKSHOP</t>
        </is>
      </c>
      <c r="C46" s="0" t="inlineStr">
        <is>
          <t>SSOONG1</t>
        </is>
      </c>
    </row>
    <row r="47">
      <c r="A47" s="0" t="inlineStr">
        <is>
          <t>300600000066</t>
        </is>
      </c>
      <c r="B47" s="0" t="inlineStr">
        <is>
          <t>CRM-OTHERS</t>
        </is>
      </c>
      <c r="C47" s="0" t="inlineStr">
        <is>
          <t>SSOONG1</t>
        </is>
      </c>
    </row>
    <row r="48">
      <c r="A48" s="0" t="inlineStr">
        <is>
          <t>300600000067</t>
        </is>
      </c>
      <c r="B48" s="0" t="inlineStr">
        <is>
          <t>TRAINING-RETAIL TRAINING</t>
        </is>
      </c>
      <c r="C48" s="0" t="inlineStr">
        <is>
          <t>SSOONG1</t>
        </is>
      </c>
    </row>
    <row r="49">
      <c r="A49" s="0" t="inlineStr">
        <is>
          <t>300600000071</t>
        </is>
      </c>
      <c r="B49" s="0" t="inlineStr">
        <is>
          <t>CRM-LUNAR NEW YEAR</t>
        </is>
      </c>
      <c r="C49" s="0" t="inlineStr">
        <is>
          <t>SSOONG1</t>
        </is>
      </c>
    </row>
    <row r="50">
      <c r="A50" s="0" t="inlineStr">
        <is>
          <t>300600000072</t>
        </is>
      </c>
      <c r="B50" s="0" t="inlineStr">
        <is>
          <t>CRM-VDAY</t>
        </is>
      </c>
      <c r="C50" s="0" t="inlineStr">
        <is>
          <t>SSOONG1</t>
        </is>
      </c>
    </row>
    <row r="51">
      <c r="A51" s="0" t="inlineStr">
        <is>
          <t>300600000073</t>
        </is>
      </c>
      <c r="B51" s="0" t="inlineStr">
        <is>
          <t>CRM-520</t>
        </is>
      </c>
      <c r="C51" s="0" t="inlineStr">
        <is>
          <t>SSOONG1</t>
        </is>
      </c>
    </row>
    <row r="52">
      <c r="A52" s="0" t="inlineStr">
        <is>
          <t>300600000074</t>
        </is>
      </c>
      <c r="B52" s="0" t="inlineStr">
        <is>
          <t>CRM-QIXI</t>
        </is>
      </c>
      <c r="C52" s="0" t="inlineStr">
        <is>
          <t>SSOONG1</t>
        </is>
      </c>
    </row>
    <row r="53">
      <c r="A53" s="0" t="inlineStr">
        <is>
          <t>300600000075</t>
        </is>
      </c>
      <c r="B53" s="0" t="inlineStr">
        <is>
          <t>CRM-MID AUTUMN</t>
        </is>
      </c>
      <c r="C53" s="0" t="inlineStr">
        <is>
          <t>SSOONG1</t>
        </is>
      </c>
    </row>
    <row r="54">
      <c r="A54" s="0" t="inlineStr">
        <is>
          <t>300600000076</t>
        </is>
      </c>
      <c r="B54" s="0" t="inlineStr">
        <is>
          <t>ALLCC-MIS RELATED</t>
        </is>
      </c>
      <c r="C54" s="0" t="inlineStr">
        <is>
          <t>CLIN24</t>
        </is>
      </c>
    </row>
    <row r="55">
      <c r="A55" s="0" t="inlineStr">
        <is>
          <t>300600000077</t>
        </is>
      </c>
      <c r="B55" s="0" t="inlineStr">
        <is>
          <t>MIS-LEASELINE-MANAGED WAN(SDWAN)</t>
        </is>
      </c>
      <c r="C55" s="0" t="inlineStr">
        <is>
          <t>CLIN24</t>
        </is>
      </c>
    </row>
    <row r="56">
      <c r="A56" s="0" t="inlineStr">
        <is>
          <t>300600000078</t>
        </is>
      </c>
      <c r="B56" s="0" t="inlineStr">
        <is>
          <t>MIS-LEASELINE-WAN(SDWAN)</t>
        </is>
      </c>
      <c r="C56" s="0" t="inlineStr">
        <is>
          <t>CLIN24</t>
        </is>
      </c>
    </row>
    <row r="57">
      <c r="A57" s="0" t="inlineStr">
        <is>
          <t>300600000079</t>
        </is>
      </c>
      <c r="B57" s="0" t="inlineStr">
        <is>
          <t>GA-HR-TEAM BUILDING</t>
        </is>
      </c>
      <c r="C57" s="0" t="inlineStr">
        <is>
          <t>DLI13</t>
        </is>
      </c>
    </row>
    <row r="58">
      <c r="A58" s="0" t="inlineStr">
        <is>
          <t>300600000081</t>
        </is>
      </c>
      <c r="B58" s="0" t="inlineStr">
        <is>
          <t>STORE-CS-CLIENT SERVICE OPERATION RELATE</t>
        </is>
      </c>
      <c r="C58" s="0" t="inlineStr">
        <is>
          <t>MLUO5</t>
        </is>
      </c>
    </row>
    <row r="59">
      <c r="A59" s="0" t="inlineStr">
        <is>
          <t>300600000082</t>
        </is>
      </c>
      <c r="B59" s="0" t="inlineStr">
        <is>
          <t>ALLCC-HR&amp;GS RELATED</t>
        </is>
      </c>
      <c r="C59" s="0" t="inlineStr">
        <is>
          <t>DLI13</t>
        </is>
      </c>
    </row>
    <row r="60">
      <c r="A60" s="0" t="inlineStr">
        <is>
          <t>300600000091</t>
        </is>
      </c>
      <c r="B60" s="0" t="inlineStr">
        <is>
          <t>CMR-RO-SPECIAL OPERATION EXPENSE</t>
        </is>
      </c>
      <c r="C60" s="0" t="inlineStr">
        <is>
          <t>ETOCCO</t>
        </is>
      </c>
    </row>
    <row r="61">
      <c r="A61" s="0" t="inlineStr">
        <is>
          <t>300600000093</t>
        </is>
      </c>
      <c r="B61" s="0" t="inlineStr">
        <is>
          <t>WH-STORE DELIVERY&amp;WAREHOUSE OPERATION RE</t>
        </is>
      </c>
      <c r="C61" s="0" t="inlineStr">
        <is>
          <t>CLIN24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FmooUbqNvnnbg8d+MJxF+g==" formatRows="0" sort="0" spinCount="100000" hashValue="VCjeNWMo68I5eaJdZ4T3qggb8eDtT0Y+/tzi6KmE8PrqV6UT1zgVW55rOdbbyJS6bXSXYuSnrf76isHGt6Jxkg==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M1" sqref="M1"/>
    </sheetView>
  </sheetViews>
  <sheetFormatPr baseColWidth="8" defaultRowHeight="13.5"/>
  <cols>
    <col width="21.25" bestFit="1" customWidth="1" style="94" min="1" max="1"/>
    <col width="36.25" bestFit="1" customWidth="1" style="94" min="2" max="2"/>
    <col hidden="1" outlineLevel="1" width="16.75" customWidth="1" style="94" min="3" max="3"/>
    <col hidden="1" outlineLevel="1" collapsed="1" width="36.25" customWidth="1" style="94" min="4" max="4"/>
    <col hidden="1" outlineLevel="1" collapsed="1" width="14.5" customWidth="1" style="94" min="5" max="5"/>
    <col hidden="1" outlineLevel="1" width="20" customWidth="1" style="94" min="6" max="6"/>
    <col collapsed="1" width="25.5" bestFit="1" customWidth="1" style="94" min="7" max="7"/>
    <col width="36.25" bestFit="1" customWidth="1" style="94" min="8" max="8"/>
    <col hidden="1" outlineLevel="1" width="16.75" customWidth="1" style="94" min="9" max="9"/>
    <col collapsed="1" width="36.25" bestFit="1" customWidth="1" style="94" min="10" max="10"/>
    <col width="9.25" bestFit="1" customWidth="1" style="94" min="11" max="11"/>
  </cols>
  <sheetData>
    <row r="1" customFormat="1" s="43">
      <c r="A1" s="43" t="inlineStr">
        <is>
          <t>Project</t>
        </is>
      </c>
      <c r="C1" s="43" t="inlineStr">
        <is>
          <t>Project Profile</t>
        </is>
      </c>
      <c r="E1" s="43" t="inlineStr">
        <is>
          <t>Creation date</t>
        </is>
      </c>
      <c r="F1" s="43" t="inlineStr">
        <is>
          <t>Creation user name</t>
        </is>
      </c>
      <c r="G1" s="44" t="inlineStr">
        <is>
          <t>WBS element</t>
        </is>
      </c>
      <c r="I1" s="43" t="inlineStr">
        <is>
          <t>Invest. profile</t>
        </is>
      </c>
      <c r="K1" s="43" t="inlineStr">
        <is>
          <t>Approver</t>
        </is>
      </c>
    </row>
    <row r="2">
      <c r="A2" s="0" t="inlineStr">
        <is>
          <t>P-COM-3006-18-25200</t>
        </is>
      </c>
      <c r="B2" s="0" t="inlineStr">
        <is>
          <t>Advertising</t>
        </is>
      </c>
      <c r="C2" s="0" t="inlineStr">
        <is>
          <t>COM</t>
        </is>
      </c>
      <c r="D2" s="0" t="inlineStr">
        <is>
          <t>Communication</t>
        </is>
      </c>
      <c r="E2" s="0" t="inlineStr">
        <is>
          <t>21.12.2025</t>
        </is>
      </c>
      <c r="F2" s="0" t="inlineStr">
        <is>
          <t>WYAP</t>
        </is>
      </c>
      <c r="G2" s="0" t="inlineStr">
        <is>
          <t>W-COM-3006-18-25200-100</t>
        </is>
      </c>
      <c r="H2" s="0" t="inlineStr">
        <is>
          <t>Advertising - Print</t>
        </is>
      </c>
      <c r="I2" s="0" t="inlineStr">
        <is>
          <t>#</t>
        </is>
      </c>
      <c r="J2" s="0" t="inlineStr">
        <is>
          <t>Not assigned</t>
        </is>
      </c>
      <c r="K2" s="0" t="inlineStr">
        <is>
          <t>ASUN7</t>
        </is>
      </c>
    </row>
    <row r="3">
      <c r="A3" s="0" t="inlineStr">
        <is>
          <t>P-COM-3006-18-25200</t>
        </is>
      </c>
      <c r="B3" s="0" t="inlineStr">
        <is>
          <t>Advertising</t>
        </is>
      </c>
      <c r="C3" s="0" t="inlineStr">
        <is>
          <t>COM</t>
        </is>
      </c>
      <c r="D3" s="0" t="inlineStr">
        <is>
          <t>Communication</t>
        </is>
      </c>
      <c r="E3" s="0" t="inlineStr">
        <is>
          <t>21.12.2025</t>
        </is>
      </c>
      <c r="F3" s="0" t="inlineStr">
        <is>
          <t>WYAP</t>
        </is>
      </c>
      <c r="G3" s="0" t="inlineStr">
        <is>
          <t>W-COM-3006-18-25200-200</t>
        </is>
      </c>
      <c r="H3" s="0" t="inlineStr">
        <is>
          <t>Advertising - Outdoor</t>
        </is>
      </c>
      <c r="I3" s="0" t="inlineStr">
        <is>
          <t>#</t>
        </is>
      </c>
      <c r="J3" s="0" t="inlineStr">
        <is>
          <t>Not assigned</t>
        </is>
      </c>
      <c r="K3" s="0" t="inlineStr">
        <is>
          <t>ASUN7</t>
        </is>
      </c>
    </row>
    <row r="4">
      <c r="A4" s="0" t="inlineStr">
        <is>
          <t>P-COM-3006-18-25200</t>
        </is>
      </c>
      <c r="B4" s="0" t="inlineStr">
        <is>
          <t>Advertising</t>
        </is>
      </c>
      <c r="C4" s="0" t="inlineStr">
        <is>
          <t>COM</t>
        </is>
      </c>
      <c r="D4" s="0" t="inlineStr">
        <is>
          <t>Communication</t>
        </is>
      </c>
      <c r="E4" s="0" t="inlineStr">
        <is>
          <t>21.12.2025</t>
        </is>
      </c>
      <c r="F4" s="0" t="inlineStr">
        <is>
          <t>WYAP</t>
        </is>
      </c>
      <c r="G4" s="0" t="inlineStr">
        <is>
          <t>W-COM-3006-18-25200-300</t>
        </is>
      </c>
      <c r="H4" s="0" t="inlineStr">
        <is>
          <t>Advertising - Digital</t>
        </is>
      </c>
      <c r="I4" s="0" t="inlineStr">
        <is>
          <t>#</t>
        </is>
      </c>
      <c r="J4" s="0" t="inlineStr">
        <is>
          <t>Not assigned</t>
        </is>
      </c>
      <c r="K4" s="0" t="inlineStr">
        <is>
          <t>ASUN7</t>
        </is>
      </c>
    </row>
    <row r="5">
      <c r="A5" s="0" t="inlineStr">
        <is>
          <t>P-COM-3006-18-25200</t>
        </is>
      </c>
      <c r="B5" s="0" t="inlineStr">
        <is>
          <t>Advertising</t>
        </is>
      </c>
      <c r="C5" s="0" t="inlineStr">
        <is>
          <t>COM</t>
        </is>
      </c>
      <c r="D5" s="0" t="inlineStr">
        <is>
          <t>Communication</t>
        </is>
      </c>
      <c r="E5" s="0" t="inlineStr">
        <is>
          <t>21.12.2025</t>
        </is>
      </c>
      <c r="F5" s="0" t="inlineStr">
        <is>
          <t>WYAP</t>
        </is>
      </c>
      <c r="G5" s="0" t="inlineStr">
        <is>
          <t>W-COM-3006-18-25200-400</t>
        </is>
      </c>
      <c r="H5" s="0" t="inlineStr">
        <is>
          <t>Advertising - Search</t>
        </is>
      </c>
      <c r="I5" s="0" t="inlineStr">
        <is>
          <t>#</t>
        </is>
      </c>
      <c r="J5" s="0" t="inlineStr">
        <is>
          <t>Not assigned</t>
        </is>
      </c>
      <c r="K5" s="0" t="inlineStr">
        <is>
          <t>ASUN7</t>
        </is>
      </c>
    </row>
    <row r="6">
      <c r="A6" s="0" t="inlineStr">
        <is>
          <t>P-COM-3006-18-25200</t>
        </is>
      </c>
      <c r="B6" s="0" t="inlineStr">
        <is>
          <t>Advertising</t>
        </is>
      </c>
      <c r="C6" s="0" t="inlineStr">
        <is>
          <t>COM</t>
        </is>
      </c>
      <c r="D6" s="0" t="inlineStr">
        <is>
          <t>Communication</t>
        </is>
      </c>
      <c r="E6" s="0" t="inlineStr">
        <is>
          <t>21.12.2025</t>
        </is>
      </c>
      <c r="F6" s="0" t="inlineStr">
        <is>
          <t>WYAP</t>
        </is>
      </c>
      <c r="G6" s="0" t="inlineStr">
        <is>
          <t>W-COM-3006-18-25200-500</t>
        </is>
      </c>
      <c r="H6" s="0" t="inlineStr">
        <is>
          <t>Advertising - Retainers</t>
        </is>
      </c>
      <c r="I6" s="0" t="inlineStr">
        <is>
          <t>#</t>
        </is>
      </c>
      <c r="J6" s="0" t="inlineStr">
        <is>
          <t>Not assigned</t>
        </is>
      </c>
      <c r="K6" s="0" t="inlineStr">
        <is>
          <t>ASUN7</t>
        </is>
      </c>
    </row>
    <row r="7">
      <c r="A7" s="0" t="inlineStr">
        <is>
          <t>P-INV-3006-18-11000</t>
        </is>
      </c>
      <c r="B7" s="0" t="inlineStr">
        <is>
          <t>CN-GUANGZHOU TAIKOO HUI-EXPANSION</t>
        </is>
      </c>
      <c r="C7" s="0" t="inlineStr">
        <is>
          <t>Z000006</t>
        </is>
      </c>
      <c r="D7" s="0" t="inlineStr">
        <is>
          <t>Leasehold Improvement AUC - Store</t>
        </is>
      </c>
      <c r="E7" s="0" t="inlineStr">
        <is>
          <t>21.12.2025</t>
        </is>
      </c>
      <c r="F7" s="0" t="inlineStr">
        <is>
          <t>WYAP</t>
        </is>
      </c>
      <c r="G7" s="0" t="inlineStr">
        <is>
          <t>W-INV-3006-18-11000-141</t>
        </is>
      </c>
      <c r="H7" s="0" t="inlineStr">
        <is>
          <t>CN-GUANGZHOU TAIKOO HUI-EXPANSION</t>
        </is>
      </c>
      <c r="I7" s="0" t="inlineStr">
        <is>
          <t>Z00006</t>
        </is>
      </c>
      <c r="J7" s="0" t="inlineStr">
        <is>
          <t>Leasehold improvement AUC - Store</t>
        </is>
      </c>
      <c r="K7" s="0" t="inlineStr">
        <is>
          <t>JSHIN9</t>
        </is>
      </c>
    </row>
    <row r="8">
      <c r="A8" s="0" t="inlineStr">
        <is>
          <t>P-INV-3006-18-11000</t>
        </is>
      </c>
      <c r="B8" s="0" t="inlineStr">
        <is>
          <t>CN-GUANGZHOU TAIKOO HUI-EXPANSION</t>
        </is>
      </c>
      <c r="C8" s="0" t="inlineStr">
        <is>
          <t>Z000006</t>
        </is>
      </c>
      <c r="D8" s="0" t="inlineStr">
        <is>
          <t>Leasehold Improvement AUC - Store</t>
        </is>
      </c>
      <c r="E8" s="0" t="inlineStr">
        <is>
          <t>21.12.2025</t>
        </is>
      </c>
      <c r="F8" s="0" t="inlineStr">
        <is>
          <t>WYAP</t>
        </is>
      </c>
      <c r="G8" s="0" t="inlineStr">
        <is>
          <t>W-INV-3006-18-11000-142</t>
        </is>
      </c>
      <c r="H8" s="0" t="inlineStr">
        <is>
          <t>CN-GUANGZHOU TAIKOO HUI-EXPANSION</t>
        </is>
      </c>
      <c r="I8" s="0" t="inlineStr">
        <is>
          <t>Z00006</t>
        </is>
      </c>
      <c r="J8" s="0" t="inlineStr">
        <is>
          <t>Leasehold improvement AUC - Store</t>
        </is>
      </c>
      <c r="K8" s="0" t="inlineStr">
        <is>
          <t>JSHIN9</t>
        </is>
      </c>
    </row>
    <row r="9">
      <c r="A9" s="0" t="inlineStr">
        <is>
          <t>P-INV-3006-18-11000</t>
        </is>
      </c>
      <c r="B9" s="0" t="inlineStr">
        <is>
          <t>CN-GUANGZHOU TAIKOO HUI-EXPANSION</t>
        </is>
      </c>
      <c r="C9" s="0" t="inlineStr">
        <is>
          <t>Z000006</t>
        </is>
      </c>
      <c r="D9" s="0" t="inlineStr">
        <is>
          <t>Leasehold Improvement AUC - Store</t>
        </is>
      </c>
      <c r="E9" s="0" t="inlineStr">
        <is>
          <t>21.12.2025</t>
        </is>
      </c>
      <c r="F9" s="0" t="inlineStr">
        <is>
          <t>WYAP</t>
        </is>
      </c>
      <c r="G9" s="0" t="inlineStr">
        <is>
          <t>W-INV-3006-18-11000-143</t>
        </is>
      </c>
      <c r="H9" s="0" t="inlineStr">
        <is>
          <t>CN-GUANGZHOU TAIKOO HUI-EXPANSION</t>
        </is>
      </c>
      <c r="I9" s="0" t="inlineStr">
        <is>
          <t>Z00006</t>
        </is>
      </c>
      <c r="J9" s="0" t="inlineStr">
        <is>
          <t>Leasehold improvement AUC - Store</t>
        </is>
      </c>
      <c r="K9" s="0" t="inlineStr">
        <is>
          <t>JSHIN9</t>
        </is>
      </c>
    </row>
    <row r="10">
      <c r="A10" s="0" t="inlineStr">
        <is>
          <t>P-INV-3006-18-11000</t>
        </is>
      </c>
      <c r="B10" s="0" t="inlineStr">
        <is>
          <t>CN-GUANGZHOU TAIKOO HUI-EXPANSION</t>
        </is>
      </c>
      <c r="C10" s="0" t="inlineStr">
        <is>
          <t>Z000006</t>
        </is>
      </c>
      <c r="D10" s="0" t="inlineStr">
        <is>
          <t>Leasehold Improvement AUC - Store</t>
        </is>
      </c>
      <c r="E10" s="0" t="inlineStr">
        <is>
          <t>21.12.2025</t>
        </is>
      </c>
      <c r="F10" s="0" t="inlineStr">
        <is>
          <t>WYAP</t>
        </is>
      </c>
      <c r="G10" s="0" t="inlineStr">
        <is>
          <t>W-INV-3006-18-11000-144</t>
        </is>
      </c>
      <c r="H10" s="0" t="inlineStr">
        <is>
          <t>CN-GUANGZHOU TAIKOO HUI-EXPANSION</t>
        </is>
      </c>
      <c r="I10" s="0" t="inlineStr">
        <is>
          <t>Z00006</t>
        </is>
      </c>
      <c r="J10" s="0" t="inlineStr">
        <is>
          <t>Leasehold improvement AUC - Store</t>
        </is>
      </c>
      <c r="K10" s="0" t="inlineStr">
        <is>
          <t>JSHIN9</t>
        </is>
      </c>
    </row>
    <row r="11">
      <c r="A11" s="0" t="inlineStr">
        <is>
          <t>P-INV-3006-18-11000</t>
        </is>
      </c>
      <c r="B11" s="0" t="inlineStr">
        <is>
          <t>CN-GUANGZHOU TAIKOO HUI-EXPANSION</t>
        </is>
      </c>
      <c r="C11" s="0" t="inlineStr">
        <is>
          <t>Z000006</t>
        </is>
      </c>
      <c r="D11" s="0" t="inlineStr">
        <is>
          <t>Leasehold Improvement AUC - Store</t>
        </is>
      </c>
      <c r="E11" s="0" t="inlineStr">
        <is>
          <t>21.12.2025</t>
        </is>
      </c>
      <c r="F11" s="0" t="inlineStr">
        <is>
          <t>WYAP</t>
        </is>
      </c>
      <c r="G11" s="0" t="inlineStr">
        <is>
          <t>W-INV-3006-18-11000-145</t>
        </is>
      </c>
      <c r="H11" s="0" t="inlineStr">
        <is>
          <t>CN-GUANGZHOU TAIKOO HUI-EXPANSION</t>
        </is>
      </c>
      <c r="I11" s="0" t="inlineStr">
        <is>
          <t>Z00006</t>
        </is>
      </c>
      <c r="J11" s="0" t="inlineStr">
        <is>
          <t>Leasehold improvement AUC - Store</t>
        </is>
      </c>
      <c r="K11" s="0" t="inlineStr">
        <is>
          <t>JSHIN9</t>
        </is>
      </c>
    </row>
    <row r="12">
      <c r="A12" s="0" t="inlineStr">
        <is>
          <t>P-INV-3006-18-11000</t>
        </is>
      </c>
      <c r="B12" s="0" t="inlineStr">
        <is>
          <t>CN-GUANGZHOU TAIKOO HUI-EXPANSION</t>
        </is>
      </c>
      <c r="C12" s="0" t="inlineStr">
        <is>
          <t>Z000006</t>
        </is>
      </c>
      <c r="D12" s="0" t="inlineStr">
        <is>
          <t>Leasehold Improvement AUC - Store</t>
        </is>
      </c>
      <c r="E12" s="0" t="inlineStr">
        <is>
          <t>21.12.2025</t>
        </is>
      </c>
      <c r="F12" s="0" t="inlineStr">
        <is>
          <t>WYAP</t>
        </is>
      </c>
      <c r="G12" s="0" t="inlineStr">
        <is>
          <t>W-INV-3006-18-11000-146</t>
        </is>
      </c>
      <c r="H12" s="0" t="inlineStr">
        <is>
          <t>CN-GUANGZHOU TAIKOO HUI-EXPANSION</t>
        </is>
      </c>
      <c r="I12" s="0" t="inlineStr">
        <is>
          <t>Z00006</t>
        </is>
      </c>
      <c r="J12" s="0" t="inlineStr">
        <is>
          <t>Leasehold improvement AUC - Store</t>
        </is>
      </c>
      <c r="K12" s="0" t="inlineStr">
        <is>
          <t>JSHIN9</t>
        </is>
      </c>
    </row>
    <row r="13">
      <c r="A13" s="0" t="inlineStr">
        <is>
          <t>P-INV-3006-18-11000</t>
        </is>
      </c>
      <c r="B13" s="0" t="inlineStr">
        <is>
          <t>CN-GUANGZHOU TAIKOO HUI-EXPANSION</t>
        </is>
      </c>
      <c r="C13" s="0" t="inlineStr">
        <is>
          <t>Z000006</t>
        </is>
      </c>
      <c r="D13" s="0" t="inlineStr">
        <is>
          <t>Leasehold Improvement AUC - Store</t>
        </is>
      </c>
      <c r="E13" s="0" t="inlineStr">
        <is>
          <t>21.12.2025</t>
        </is>
      </c>
      <c r="F13" s="0" t="inlineStr">
        <is>
          <t>WYAP</t>
        </is>
      </c>
      <c r="G13" s="0" t="inlineStr">
        <is>
          <t>W-INV-3006-18-11000-147</t>
        </is>
      </c>
      <c r="H13" s="0" t="inlineStr">
        <is>
          <t>CN-GUANGZHOU TAIKOO HUI-EXPANSION</t>
        </is>
      </c>
      <c r="I13" s="0" t="inlineStr">
        <is>
          <t>Z00006</t>
        </is>
      </c>
      <c r="J13" s="0" t="inlineStr">
        <is>
          <t>Leasehold improvement AUC - Store</t>
        </is>
      </c>
      <c r="K13" s="0" t="inlineStr">
        <is>
          <t>JSHIN9</t>
        </is>
      </c>
    </row>
    <row r="14">
      <c r="A14" s="0" t="inlineStr">
        <is>
          <t>P-INV-3006-18-11000</t>
        </is>
      </c>
      <c r="B14" s="0" t="inlineStr">
        <is>
          <t>CN-GUANGZHOU TAIKOO HUI-EXPANSION</t>
        </is>
      </c>
      <c r="C14" s="0" t="inlineStr">
        <is>
          <t>Z000006</t>
        </is>
      </c>
      <c r="D14" s="0" t="inlineStr">
        <is>
          <t>Leasehold Improvement AUC - Store</t>
        </is>
      </c>
      <c r="E14" s="0" t="inlineStr">
        <is>
          <t>21.12.2025</t>
        </is>
      </c>
      <c r="F14" s="0" t="inlineStr">
        <is>
          <t>WYAP</t>
        </is>
      </c>
      <c r="G14" s="0" t="inlineStr">
        <is>
          <t>W-INV-3006-18-11000-148</t>
        </is>
      </c>
      <c r="H14" s="0" t="inlineStr">
        <is>
          <t>CN-GUANGZHOU TAIKOO HUI-EXPANSION</t>
        </is>
      </c>
      <c r="I14" s="0" t="inlineStr">
        <is>
          <t>Z00006</t>
        </is>
      </c>
      <c r="J14" s="0" t="inlineStr">
        <is>
          <t>Leasehold improvement AUC - Store</t>
        </is>
      </c>
      <c r="K14" s="0" t="inlineStr">
        <is>
          <t>JSHIN9</t>
        </is>
      </c>
    </row>
    <row r="15">
      <c r="A15" s="0" t="inlineStr">
        <is>
          <t>P-INV-3006-18-11000</t>
        </is>
      </c>
      <c r="B15" s="0" t="inlineStr">
        <is>
          <t>CN-GUANGZHOU TAIKOO HUI-EXPANSION</t>
        </is>
      </c>
      <c r="C15" s="0" t="inlineStr">
        <is>
          <t>Z000006</t>
        </is>
      </c>
      <c r="D15" s="0" t="inlineStr">
        <is>
          <t>Leasehold Improvement AUC - Store</t>
        </is>
      </c>
      <c r="E15" s="0" t="inlineStr">
        <is>
          <t>21.12.2025</t>
        </is>
      </c>
      <c r="F15" s="0" t="inlineStr">
        <is>
          <t>WYAP</t>
        </is>
      </c>
      <c r="G15" s="0" t="inlineStr">
        <is>
          <t>W-INV-3006-18-11000-149</t>
        </is>
      </c>
      <c r="H15" s="0" t="inlineStr">
        <is>
          <t>CN-GUANGZHOU TAIKOO HUI-EXPANSION</t>
        </is>
      </c>
      <c r="I15" s="0" t="inlineStr">
        <is>
          <t>Z00006</t>
        </is>
      </c>
      <c r="J15" s="0" t="inlineStr">
        <is>
          <t>Leasehold improvement AUC - Store</t>
        </is>
      </c>
      <c r="K15" s="0" t="inlineStr">
        <is>
          <t>JSHIN9</t>
        </is>
      </c>
    </row>
    <row r="16">
      <c r="A16" s="0" t="inlineStr">
        <is>
          <t>P-INV-3006-18-11001</t>
        </is>
      </c>
      <c r="B16" s="0" t="inlineStr">
        <is>
          <t>CN-SHANGHAI PLAZA 66-RELOCATION</t>
        </is>
      </c>
      <c r="C16" s="0" t="inlineStr">
        <is>
          <t>Z000006</t>
        </is>
      </c>
      <c r="D16" s="0" t="inlineStr">
        <is>
          <t>Leasehold Improvement AUC - Store</t>
        </is>
      </c>
      <c r="E16" s="0" t="inlineStr">
        <is>
          <t>21.12.2025</t>
        </is>
      </c>
      <c r="F16" s="0" t="inlineStr">
        <is>
          <t>WYAP</t>
        </is>
      </c>
      <c r="G16" s="0" t="inlineStr">
        <is>
          <t>W-INV-3006-18-11001-121</t>
        </is>
      </c>
      <c r="H16" s="0" t="inlineStr">
        <is>
          <t>CN-SHANGHAI PLAZA 66-RELOCATION</t>
        </is>
      </c>
      <c r="I16" s="0" t="inlineStr">
        <is>
          <t>Z00006</t>
        </is>
      </c>
      <c r="J16" s="0" t="inlineStr">
        <is>
          <t>Leasehold improvement AUC - Store</t>
        </is>
      </c>
      <c r="K16" s="0" t="inlineStr">
        <is>
          <t>JSHIN9</t>
        </is>
      </c>
    </row>
    <row r="17">
      <c r="A17" s="0" t="inlineStr">
        <is>
          <t>P-INV-3006-18-11001</t>
        </is>
      </c>
      <c r="B17" s="0" t="inlineStr">
        <is>
          <t>CN-SHANGHAI PLAZA 66-RELOCATION</t>
        </is>
      </c>
      <c r="C17" s="0" t="inlineStr">
        <is>
          <t>Z000006</t>
        </is>
      </c>
      <c r="D17" s="0" t="inlineStr">
        <is>
          <t>Leasehold Improvement AUC - Store</t>
        </is>
      </c>
      <c r="E17" s="0" t="inlineStr">
        <is>
          <t>21.12.2025</t>
        </is>
      </c>
      <c r="F17" s="0" t="inlineStr">
        <is>
          <t>WYAP</t>
        </is>
      </c>
      <c r="G17" s="0" t="inlineStr">
        <is>
          <t>W-INV-3006-18-11001-122</t>
        </is>
      </c>
      <c r="H17" s="0" t="inlineStr">
        <is>
          <t>CN-SHANGHAI PLAZA 66-RELOCATION</t>
        </is>
      </c>
      <c r="I17" s="0" t="inlineStr">
        <is>
          <t>Z00006</t>
        </is>
      </c>
      <c r="J17" s="0" t="inlineStr">
        <is>
          <t>Leasehold improvement AUC - Store</t>
        </is>
      </c>
      <c r="K17" s="0" t="inlineStr">
        <is>
          <t>JSHIN9</t>
        </is>
      </c>
    </row>
    <row r="18">
      <c r="A18" s="0" t="inlineStr">
        <is>
          <t>P-INV-3006-18-11001</t>
        </is>
      </c>
      <c r="B18" s="0" t="inlineStr">
        <is>
          <t>CN-SHANGHAI PLAZA 66-RELOCATION</t>
        </is>
      </c>
      <c r="C18" s="0" t="inlineStr">
        <is>
          <t>Z000006</t>
        </is>
      </c>
      <c r="D18" s="0" t="inlineStr">
        <is>
          <t>Leasehold Improvement AUC - Store</t>
        </is>
      </c>
      <c r="E18" s="0" t="inlineStr">
        <is>
          <t>21.12.2025</t>
        </is>
      </c>
      <c r="F18" s="0" t="inlineStr">
        <is>
          <t>WYAP</t>
        </is>
      </c>
      <c r="G18" s="0" t="inlineStr">
        <is>
          <t>W-INV-3006-18-11001-123</t>
        </is>
      </c>
      <c r="H18" s="0" t="inlineStr">
        <is>
          <t>CN-SHANGHAI PLAZA 66-RELOCATION</t>
        </is>
      </c>
      <c r="I18" s="0" t="inlineStr">
        <is>
          <t>Z00006</t>
        </is>
      </c>
      <c r="J18" s="0" t="inlineStr">
        <is>
          <t>Leasehold improvement AUC - Store</t>
        </is>
      </c>
      <c r="K18" s="0" t="inlineStr">
        <is>
          <t>JSHIN9</t>
        </is>
      </c>
    </row>
    <row r="19">
      <c r="A19" s="0" t="inlineStr">
        <is>
          <t>P-INV-3006-18-11001</t>
        </is>
      </c>
      <c r="B19" s="0" t="inlineStr">
        <is>
          <t>CN-SHANGHAI PLAZA 66-RELOCATION</t>
        </is>
      </c>
      <c r="C19" s="0" t="inlineStr">
        <is>
          <t>Z000006</t>
        </is>
      </c>
      <c r="D19" s="0" t="inlineStr">
        <is>
          <t>Leasehold Improvement AUC - Store</t>
        </is>
      </c>
      <c r="E19" s="0" t="inlineStr">
        <is>
          <t>21.12.2025</t>
        </is>
      </c>
      <c r="F19" s="0" t="inlineStr">
        <is>
          <t>WYAP</t>
        </is>
      </c>
      <c r="G19" s="0" t="inlineStr">
        <is>
          <t>W-INV-3006-18-11001-124</t>
        </is>
      </c>
      <c r="H19" s="0" t="inlineStr">
        <is>
          <t>CN-SHANGHAI PLAZA 66-RELOCATION</t>
        </is>
      </c>
      <c r="I19" s="0" t="inlineStr">
        <is>
          <t>Z00006</t>
        </is>
      </c>
      <c r="J19" s="0" t="inlineStr">
        <is>
          <t>Leasehold improvement AUC - Store</t>
        </is>
      </c>
      <c r="K19" s="0" t="inlineStr">
        <is>
          <t>JSHIN9</t>
        </is>
      </c>
    </row>
    <row r="20">
      <c r="A20" s="0" t="inlineStr">
        <is>
          <t>P-INV-3006-18-11001</t>
        </is>
      </c>
      <c r="B20" s="0" t="inlineStr">
        <is>
          <t>CN-SHANGHAI PLAZA 66-RELOCATION</t>
        </is>
      </c>
      <c r="C20" s="0" t="inlineStr">
        <is>
          <t>Z000006</t>
        </is>
      </c>
      <c r="D20" s="0" t="inlineStr">
        <is>
          <t>Leasehold Improvement AUC - Store</t>
        </is>
      </c>
      <c r="E20" s="0" t="inlineStr">
        <is>
          <t>21.12.2025</t>
        </is>
      </c>
      <c r="F20" s="0" t="inlineStr">
        <is>
          <t>WYAP</t>
        </is>
      </c>
      <c r="G20" s="0" t="inlineStr">
        <is>
          <t>W-INV-3006-18-11001-125</t>
        </is>
      </c>
      <c r="H20" s="0" t="inlineStr">
        <is>
          <t>CN-SHANGHAI PLAZA 66-RELOCATION</t>
        </is>
      </c>
      <c r="I20" s="0" t="inlineStr">
        <is>
          <t>Z00006</t>
        </is>
      </c>
      <c r="J20" s="0" t="inlineStr">
        <is>
          <t>Leasehold improvement AUC - Store</t>
        </is>
      </c>
      <c r="K20" s="0" t="inlineStr">
        <is>
          <t>JSHIN9</t>
        </is>
      </c>
    </row>
    <row r="21">
      <c r="A21" s="0" t="inlineStr">
        <is>
          <t>P-INV-3006-18-11001</t>
        </is>
      </c>
      <c r="B21" s="0" t="inlineStr">
        <is>
          <t>CN-SHANGHAI PLAZA 66-RELOCATION</t>
        </is>
      </c>
      <c r="C21" s="0" t="inlineStr">
        <is>
          <t>Z000006</t>
        </is>
      </c>
      <c r="D21" s="0" t="inlineStr">
        <is>
          <t>Leasehold Improvement AUC - Store</t>
        </is>
      </c>
      <c r="E21" s="0" t="inlineStr">
        <is>
          <t>21.12.2025</t>
        </is>
      </c>
      <c r="F21" s="0" t="inlineStr">
        <is>
          <t>WYAP</t>
        </is>
      </c>
      <c r="G21" s="0" t="inlineStr">
        <is>
          <t>W-INV-3006-18-11001-126</t>
        </is>
      </c>
      <c r="H21" s="0" t="inlineStr">
        <is>
          <t>CN-SHANGHAI PLAZA 66-RELOCATION</t>
        </is>
      </c>
      <c r="I21" s="0" t="inlineStr">
        <is>
          <t>Z00006</t>
        </is>
      </c>
      <c r="J21" s="0" t="inlineStr">
        <is>
          <t>Leasehold improvement AUC - Store</t>
        </is>
      </c>
      <c r="K21" s="0" t="inlineStr">
        <is>
          <t>JSHIN9</t>
        </is>
      </c>
    </row>
    <row r="22">
      <c r="A22" s="0" t="inlineStr">
        <is>
          <t>P-INV-3006-18-11001</t>
        </is>
      </c>
      <c r="B22" s="0" t="inlineStr">
        <is>
          <t>CN-SHANGHAI PLAZA 66-RELOCATION</t>
        </is>
      </c>
      <c r="C22" s="0" t="inlineStr">
        <is>
          <t>Z000006</t>
        </is>
      </c>
      <c r="D22" s="0" t="inlineStr">
        <is>
          <t>Leasehold Improvement AUC - Store</t>
        </is>
      </c>
      <c r="E22" s="0" t="inlineStr">
        <is>
          <t>21.12.2025</t>
        </is>
      </c>
      <c r="F22" s="0" t="inlineStr">
        <is>
          <t>WYAP</t>
        </is>
      </c>
      <c r="G22" s="0" t="inlineStr">
        <is>
          <t>W-INV-3006-18-11001-127</t>
        </is>
      </c>
      <c r="H22" s="0" t="inlineStr">
        <is>
          <t>CN-SHANGHAI PLAZA 66-RELOCATION</t>
        </is>
      </c>
      <c r="I22" s="0" t="inlineStr">
        <is>
          <t>Z00006</t>
        </is>
      </c>
      <c r="J22" s="0" t="inlineStr">
        <is>
          <t>Leasehold improvement AUC - Store</t>
        </is>
      </c>
      <c r="K22" s="0" t="inlineStr">
        <is>
          <t>JSHIN9</t>
        </is>
      </c>
    </row>
    <row r="23">
      <c r="A23" s="0" t="inlineStr">
        <is>
          <t>P-INV-3006-18-11001</t>
        </is>
      </c>
      <c r="B23" s="0" t="inlineStr">
        <is>
          <t>CN-SHANGHAI PLAZA 66-RELOCATION</t>
        </is>
      </c>
      <c r="C23" s="0" t="inlineStr">
        <is>
          <t>Z000006</t>
        </is>
      </c>
      <c r="D23" s="0" t="inlineStr">
        <is>
          <t>Leasehold Improvement AUC - Store</t>
        </is>
      </c>
      <c r="E23" s="0" t="inlineStr">
        <is>
          <t>21.12.2025</t>
        </is>
      </c>
      <c r="F23" s="0" t="inlineStr">
        <is>
          <t>WYAP</t>
        </is>
      </c>
      <c r="G23" s="0" t="inlineStr">
        <is>
          <t>W-INV-3006-18-11001-128</t>
        </is>
      </c>
      <c r="H23" s="0" t="inlineStr">
        <is>
          <t>CN-SHANGHAI PLAZA 66-RELOCATION</t>
        </is>
      </c>
      <c r="I23" s="0" t="inlineStr">
        <is>
          <t>Z00006</t>
        </is>
      </c>
      <c r="J23" s="0" t="inlineStr">
        <is>
          <t>Leasehold improvement AUC - Store</t>
        </is>
      </c>
      <c r="K23" s="0" t="inlineStr">
        <is>
          <t>JSHIN9</t>
        </is>
      </c>
    </row>
    <row r="24">
      <c r="A24" s="0" t="inlineStr">
        <is>
          <t>P-INV-3006-18-11001</t>
        </is>
      </c>
      <c r="B24" s="0" t="inlineStr">
        <is>
          <t>CN-SHANGHAI PLAZA 66-RELOCATION</t>
        </is>
      </c>
      <c r="C24" s="0" t="inlineStr">
        <is>
          <t>Z000006</t>
        </is>
      </c>
      <c r="D24" s="0" t="inlineStr">
        <is>
          <t>Leasehold Improvement AUC - Store</t>
        </is>
      </c>
      <c r="E24" s="0" t="inlineStr">
        <is>
          <t>21.12.2025</t>
        </is>
      </c>
      <c r="F24" s="0" t="inlineStr">
        <is>
          <t>WYAP</t>
        </is>
      </c>
      <c r="G24" s="0" t="inlineStr">
        <is>
          <t>W-INV-3006-18-11001-129</t>
        </is>
      </c>
      <c r="H24" s="0" t="inlineStr">
        <is>
          <t>CN-SHANGHAI PLAZA 66-RELOCATION</t>
        </is>
      </c>
      <c r="I24" s="0" t="inlineStr">
        <is>
          <t>Z00006</t>
        </is>
      </c>
      <c r="J24" s="0" t="inlineStr">
        <is>
          <t>Leasehold improvement AUC - Store</t>
        </is>
      </c>
      <c r="K24" s="0" t="inlineStr">
        <is>
          <t>JSHIN9</t>
        </is>
      </c>
    </row>
    <row r="25">
      <c r="A25" s="0" t="inlineStr">
        <is>
          <t>P-INV-3006-18-11002</t>
        </is>
      </c>
      <c r="B25" s="0" t="inlineStr">
        <is>
          <t>CN-BEIJING SKP M (2F)-RELOCATION</t>
        </is>
      </c>
      <c r="C25" s="0" t="inlineStr">
        <is>
          <t>Z000006</t>
        </is>
      </c>
      <c r="D25" s="0" t="inlineStr">
        <is>
          <t>Leasehold Improvement AUC - Store</t>
        </is>
      </c>
      <c r="E25" s="0" t="inlineStr">
        <is>
          <t>21.12.2025</t>
        </is>
      </c>
      <c r="F25" s="0" t="inlineStr">
        <is>
          <t>WYAP</t>
        </is>
      </c>
      <c r="G25" s="0" t="inlineStr">
        <is>
          <t>W-INV-3006-18-11002-121</t>
        </is>
      </c>
      <c r="H25" s="0" t="inlineStr">
        <is>
          <t>CN-BEIJING SKP M (2F)-RELOCATION</t>
        </is>
      </c>
      <c r="I25" s="0" t="inlineStr">
        <is>
          <t>Z00006</t>
        </is>
      </c>
      <c r="J25" s="0" t="inlineStr">
        <is>
          <t>Leasehold improvement AUC - Store</t>
        </is>
      </c>
      <c r="K25" s="0" t="inlineStr">
        <is>
          <t>JSHIN9</t>
        </is>
      </c>
    </row>
    <row r="26">
      <c r="A26" s="0" t="inlineStr">
        <is>
          <t>P-INV-3006-18-11003</t>
        </is>
      </c>
      <c r="B26" s="0" t="inlineStr">
        <is>
          <t>CN-SHENYANG MIXC-OPENING</t>
        </is>
      </c>
      <c r="C26" s="0" t="inlineStr">
        <is>
          <t>Z000006</t>
        </is>
      </c>
      <c r="D26" s="0" t="inlineStr">
        <is>
          <t>Leasehold Improvement AUC - Store</t>
        </is>
      </c>
      <c r="E26" s="0" t="inlineStr">
        <is>
          <t>21.12.2025</t>
        </is>
      </c>
      <c r="F26" s="0" t="inlineStr">
        <is>
          <t>WYAP</t>
        </is>
      </c>
      <c r="G26" s="0" t="inlineStr">
        <is>
          <t>W-INV-3006-18-11003-111</t>
        </is>
      </c>
      <c r="H26" s="0" t="inlineStr">
        <is>
          <t>CN-SHENYANG MIXC-OPENING</t>
        </is>
      </c>
      <c r="I26" s="0" t="inlineStr">
        <is>
          <t>Z00006</t>
        </is>
      </c>
      <c r="J26" s="0" t="inlineStr">
        <is>
          <t>Leasehold improvement AUC - Store</t>
        </is>
      </c>
      <c r="K26" s="0" t="inlineStr">
        <is>
          <t>JSHIN9</t>
        </is>
      </c>
    </row>
    <row r="27">
      <c r="A27" s="0" t="inlineStr">
        <is>
          <t>P-INV-3006-18-11003</t>
        </is>
      </c>
      <c r="B27" s="0" t="inlineStr">
        <is>
          <t>CN-SHENYANG MIXC-OPENING</t>
        </is>
      </c>
      <c r="C27" s="0" t="inlineStr">
        <is>
          <t>Z000006</t>
        </is>
      </c>
      <c r="D27" s="0" t="inlineStr">
        <is>
          <t>Leasehold Improvement AUC - Store</t>
        </is>
      </c>
      <c r="E27" s="0" t="inlineStr">
        <is>
          <t>21.12.2025</t>
        </is>
      </c>
      <c r="F27" s="0" t="inlineStr">
        <is>
          <t>WYAP</t>
        </is>
      </c>
      <c r="G27" s="0" t="inlineStr">
        <is>
          <t>W-INV-3006-18-11003-112</t>
        </is>
      </c>
      <c r="H27" s="0" t="inlineStr">
        <is>
          <t>CN-SHENYANG MIXC-OPENING</t>
        </is>
      </c>
      <c r="I27" s="0" t="inlineStr">
        <is>
          <t>Z00006</t>
        </is>
      </c>
      <c r="J27" s="0" t="inlineStr">
        <is>
          <t>Leasehold improvement AUC - Store</t>
        </is>
      </c>
      <c r="K27" s="0" t="inlineStr">
        <is>
          <t>JSHIN9</t>
        </is>
      </c>
    </row>
    <row r="28">
      <c r="A28" s="0" t="inlineStr">
        <is>
          <t>P-INV-3006-18-11003</t>
        </is>
      </c>
      <c r="B28" s="0" t="inlineStr">
        <is>
          <t>CN-SHENYANG MIXC-OPENING</t>
        </is>
      </c>
      <c r="C28" s="0" t="inlineStr">
        <is>
          <t>Z000006</t>
        </is>
      </c>
      <c r="D28" s="0" t="inlineStr">
        <is>
          <t>Leasehold Improvement AUC - Store</t>
        </is>
      </c>
      <c r="E28" s="0" t="inlineStr">
        <is>
          <t>21.12.2025</t>
        </is>
      </c>
      <c r="F28" s="0" t="inlineStr">
        <is>
          <t>WYAP</t>
        </is>
      </c>
      <c r="G28" s="0" t="inlineStr">
        <is>
          <t>W-INV-3006-18-11003-113</t>
        </is>
      </c>
      <c r="H28" s="0" t="inlineStr">
        <is>
          <t>CN-SHENYANG MIXC-OPENING</t>
        </is>
      </c>
      <c r="I28" s="0" t="inlineStr">
        <is>
          <t>Z00006</t>
        </is>
      </c>
      <c r="J28" s="0" t="inlineStr">
        <is>
          <t>Leasehold improvement AUC - Store</t>
        </is>
      </c>
      <c r="K28" s="0" t="inlineStr">
        <is>
          <t>JSHIN9</t>
        </is>
      </c>
    </row>
    <row r="29">
      <c r="A29" s="0" t="inlineStr">
        <is>
          <t>P-INV-3006-18-11003</t>
        </is>
      </c>
      <c r="B29" s="0" t="inlineStr">
        <is>
          <t>CN-SHENYANG MIXC-OPENING</t>
        </is>
      </c>
      <c r="C29" s="0" t="inlineStr">
        <is>
          <t>Z000006</t>
        </is>
      </c>
      <c r="D29" s="0" t="inlineStr">
        <is>
          <t>Leasehold Improvement AUC - Store</t>
        </is>
      </c>
      <c r="E29" s="0" t="inlineStr">
        <is>
          <t>21.12.2025</t>
        </is>
      </c>
      <c r="F29" s="0" t="inlineStr">
        <is>
          <t>WYAP</t>
        </is>
      </c>
      <c r="G29" s="0" t="inlineStr">
        <is>
          <t>W-INV-3006-18-11003-114</t>
        </is>
      </c>
      <c r="H29" s="0" t="inlineStr">
        <is>
          <t>CN-SHENYANG MIXC-OPENING</t>
        </is>
      </c>
      <c r="I29" s="0" t="inlineStr">
        <is>
          <t>Z00006</t>
        </is>
      </c>
      <c r="J29" s="0" t="inlineStr">
        <is>
          <t>Leasehold improvement AUC - Store</t>
        </is>
      </c>
      <c r="K29" s="0" t="inlineStr">
        <is>
          <t>JSHIN9</t>
        </is>
      </c>
    </row>
    <row r="30">
      <c r="A30" s="0" t="inlineStr">
        <is>
          <t>P-INV-3006-18-11003</t>
        </is>
      </c>
      <c r="B30" s="0" t="inlineStr">
        <is>
          <t>CN-SHENYANG MIXC-OPENING</t>
        </is>
      </c>
      <c r="C30" s="0" t="inlineStr">
        <is>
          <t>Z000006</t>
        </is>
      </c>
      <c r="D30" s="0" t="inlineStr">
        <is>
          <t>Leasehold Improvement AUC - Store</t>
        </is>
      </c>
      <c r="E30" s="0" t="inlineStr">
        <is>
          <t>21.12.2025</t>
        </is>
      </c>
      <c r="F30" s="0" t="inlineStr">
        <is>
          <t>WYAP</t>
        </is>
      </c>
      <c r="G30" s="0" t="inlineStr">
        <is>
          <t>W-INV-3006-18-11003-115</t>
        </is>
      </c>
      <c r="H30" s="0" t="inlineStr">
        <is>
          <t>CN-SHENYANG MIXC-OPENING</t>
        </is>
      </c>
      <c r="I30" s="0" t="inlineStr">
        <is>
          <t>Z00006</t>
        </is>
      </c>
      <c r="J30" s="0" t="inlineStr">
        <is>
          <t>Leasehold improvement AUC - Store</t>
        </is>
      </c>
      <c r="K30" s="0" t="inlineStr">
        <is>
          <t>JSHIN9</t>
        </is>
      </c>
    </row>
    <row r="31">
      <c r="A31" s="0" t="inlineStr">
        <is>
          <t>P-INV-3006-18-11003</t>
        </is>
      </c>
      <c r="B31" s="0" t="inlineStr">
        <is>
          <t>CN-SHENYANG MIXC-OPENING</t>
        </is>
      </c>
      <c r="C31" s="0" t="inlineStr">
        <is>
          <t>Z000006</t>
        </is>
      </c>
      <c r="D31" s="0" t="inlineStr">
        <is>
          <t>Leasehold Improvement AUC - Store</t>
        </is>
      </c>
      <c r="E31" s="0" t="inlineStr">
        <is>
          <t>21.12.2025</t>
        </is>
      </c>
      <c r="F31" s="0" t="inlineStr">
        <is>
          <t>WYAP</t>
        </is>
      </c>
      <c r="G31" s="0" t="inlineStr">
        <is>
          <t>W-INV-3006-18-11003-116</t>
        </is>
      </c>
      <c r="H31" s="0" t="inlineStr">
        <is>
          <t>CN-SHENYANG MIXC-OPENING</t>
        </is>
      </c>
      <c r="I31" s="0" t="inlineStr">
        <is>
          <t>Z00006</t>
        </is>
      </c>
      <c r="J31" s="0" t="inlineStr">
        <is>
          <t>Leasehold improvement AUC - Store</t>
        </is>
      </c>
      <c r="K31" s="0" t="inlineStr">
        <is>
          <t>JSHIN9</t>
        </is>
      </c>
    </row>
    <row r="32">
      <c r="A32" s="0" t="inlineStr">
        <is>
          <t>P-INV-3006-18-11003</t>
        </is>
      </c>
      <c r="B32" s="0" t="inlineStr">
        <is>
          <t>CN-SHENYANG MIXC-OPENING</t>
        </is>
      </c>
      <c r="C32" s="0" t="inlineStr">
        <is>
          <t>Z000006</t>
        </is>
      </c>
      <c r="D32" s="0" t="inlineStr">
        <is>
          <t>Leasehold Improvement AUC - Store</t>
        </is>
      </c>
      <c r="E32" s="0" t="inlineStr">
        <is>
          <t>21.12.2025</t>
        </is>
      </c>
      <c r="F32" s="0" t="inlineStr">
        <is>
          <t>WYAP</t>
        </is>
      </c>
      <c r="G32" s="0" t="inlineStr">
        <is>
          <t>W-INV-3006-18-11003-117</t>
        </is>
      </c>
      <c r="H32" s="0" t="inlineStr">
        <is>
          <t>CN-SHENYANG MIXC-OPENING</t>
        </is>
      </c>
      <c r="I32" s="0" t="inlineStr">
        <is>
          <t>Z00006</t>
        </is>
      </c>
      <c r="J32" s="0" t="inlineStr">
        <is>
          <t>Leasehold improvement AUC - Store</t>
        </is>
      </c>
      <c r="K32" s="0" t="inlineStr">
        <is>
          <t>JSHIN9</t>
        </is>
      </c>
    </row>
    <row r="33">
      <c r="A33" s="0" t="inlineStr">
        <is>
          <t>P-INV-3006-18-11003</t>
        </is>
      </c>
      <c r="B33" s="0" t="inlineStr">
        <is>
          <t>CN-SHENYANG MIXC-OPENING</t>
        </is>
      </c>
      <c r="C33" s="0" t="inlineStr">
        <is>
          <t>Z000006</t>
        </is>
      </c>
      <c r="D33" s="0" t="inlineStr">
        <is>
          <t>Leasehold Improvement AUC - Store</t>
        </is>
      </c>
      <c r="E33" s="0" t="inlineStr">
        <is>
          <t>21.12.2025</t>
        </is>
      </c>
      <c r="F33" s="0" t="inlineStr">
        <is>
          <t>WYAP</t>
        </is>
      </c>
      <c r="G33" s="0" t="inlineStr">
        <is>
          <t>W-INV-3006-18-11003-118</t>
        </is>
      </c>
      <c r="H33" s="0" t="inlineStr">
        <is>
          <t>CN-SHENYANG MIXC-OPENING</t>
        </is>
      </c>
      <c r="I33" s="0" t="inlineStr">
        <is>
          <t>Z00006</t>
        </is>
      </c>
      <c r="J33" s="0" t="inlineStr">
        <is>
          <t>Leasehold improvement AUC - Store</t>
        </is>
      </c>
      <c r="K33" s="0" t="inlineStr">
        <is>
          <t>JSHIN9</t>
        </is>
      </c>
    </row>
    <row r="34">
      <c r="A34" s="0" t="inlineStr">
        <is>
          <t>P-INV-3006-18-11003</t>
        </is>
      </c>
      <c r="B34" s="0" t="inlineStr">
        <is>
          <t>CN-SHENYANG MIXC-OPENING</t>
        </is>
      </c>
      <c r="C34" s="0" t="inlineStr">
        <is>
          <t>Z000006</t>
        </is>
      </c>
      <c r="D34" s="0" t="inlineStr">
        <is>
          <t>Leasehold Improvement AUC - Store</t>
        </is>
      </c>
      <c r="E34" s="0" t="inlineStr">
        <is>
          <t>21.12.2025</t>
        </is>
      </c>
      <c r="F34" s="0" t="inlineStr">
        <is>
          <t>WYAP</t>
        </is>
      </c>
      <c r="G34" s="0" t="inlineStr">
        <is>
          <t>W-INV-3006-18-11003-119</t>
        </is>
      </c>
      <c r="H34" s="0" t="inlineStr">
        <is>
          <t>CN-SHENYANG MIXC-OPENING</t>
        </is>
      </c>
      <c r="I34" s="0" t="inlineStr">
        <is>
          <t>Z00006</t>
        </is>
      </c>
      <c r="J34" s="0" t="inlineStr">
        <is>
          <t>Leasehold improvement AUC - Store</t>
        </is>
      </c>
      <c r="K34" s="0" t="inlineStr">
        <is>
          <t>JSHIN9</t>
        </is>
      </c>
    </row>
    <row r="35">
      <c r="A35" s="0" t="inlineStr">
        <is>
          <t>P-OTH-3006-18-25600</t>
        </is>
      </c>
      <c r="B35" s="0" t="inlineStr">
        <is>
          <t>Fashion show</t>
        </is>
      </c>
      <c r="C35" s="0" t="inlineStr">
        <is>
          <t>CRM</t>
        </is>
      </c>
      <c r="D35" s="0" t="inlineStr">
        <is>
          <t>CRM Projects</t>
        </is>
      </c>
      <c r="E35" s="0" t="inlineStr">
        <is>
          <t>21.12.2025</t>
        </is>
      </c>
      <c r="F35" s="0" t="inlineStr">
        <is>
          <t>WYAP</t>
        </is>
      </c>
      <c r="G35" s="0" t="inlineStr">
        <is>
          <t>W-OTH-3006-18-25600-101</t>
        </is>
      </c>
      <c r="H35" s="0" t="inlineStr">
        <is>
          <t>Show VIC - FALL / Winter</t>
        </is>
      </c>
      <c r="I35" s="0" t="inlineStr">
        <is>
          <t>#</t>
        </is>
      </c>
      <c r="J35" s="0" t="inlineStr">
        <is>
          <t>Not assigned</t>
        </is>
      </c>
      <c r="K35" s="0" t="inlineStr">
        <is>
          <t>SSOONG1</t>
        </is>
      </c>
    </row>
    <row r="36">
      <c r="A36" s="0" t="inlineStr">
        <is>
          <t>P-OTH-3006-18-25600</t>
        </is>
      </c>
      <c r="B36" s="0" t="inlineStr">
        <is>
          <t>Fashion show</t>
        </is>
      </c>
      <c r="C36" s="0" t="inlineStr">
        <is>
          <t>CRM</t>
        </is>
      </c>
      <c r="D36" s="0" t="inlineStr">
        <is>
          <t>CRM Projects</t>
        </is>
      </c>
      <c r="E36" s="0" t="inlineStr">
        <is>
          <t>21.12.2025</t>
        </is>
      </c>
      <c r="F36" s="0" t="inlineStr">
        <is>
          <t>WYAP</t>
        </is>
      </c>
      <c r="G36" s="0" t="inlineStr">
        <is>
          <t>W-OTH-3006-18-25600-102</t>
        </is>
      </c>
      <c r="H36" s="0" t="inlineStr">
        <is>
          <t>Show VIC - SPRING / SUMMER</t>
        </is>
      </c>
      <c r="I36" s="0" t="inlineStr">
        <is>
          <t>#</t>
        </is>
      </c>
      <c r="J36" s="0" t="inlineStr">
        <is>
          <t>Not assigned</t>
        </is>
      </c>
      <c r="K36" s="0" t="inlineStr">
        <is>
          <t>SSOONG1</t>
        </is>
      </c>
    </row>
    <row r="37">
      <c r="A37" s="0" t="inlineStr">
        <is>
          <t>P-OTH-3006-18-25600</t>
        </is>
      </c>
      <c r="B37" s="0" t="inlineStr">
        <is>
          <t>Fashion show</t>
        </is>
      </c>
      <c r="C37" s="0" t="inlineStr">
        <is>
          <t>CRM</t>
        </is>
      </c>
      <c r="D37" s="0" t="inlineStr">
        <is>
          <t>CRM Projects</t>
        </is>
      </c>
      <c r="E37" s="0" t="inlineStr">
        <is>
          <t>21.12.2025</t>
        </is>
      </c>
      <c r="F37" s="0" t="inlineStr">
        <is>
          <t>WYAP</t>
        </is>
      </c>
      <c r="G37" s="0" t="inlineStr">
        <is>
          <t>W-OTH-3006-18-25600-201</t>
        </is>
      </c>
      <c r="H37" s="0" t="inlineStr">
        <is>
          <t>VIC PREVIEW - FALL / Winter</t>
        </is>
      </c>
      <c r="I37" s="0" t="inlineStr">
        <is>
          <t>#</t>
        </is>
      </c>
      <c r="J37" s="0" t="inlineStr">
        <is>
          <t>Not assigned</t>
        </is>
      </c>
      <c r="K37" s="0" t="inlineStr">
        <is>
          <t>SSOONG1</t>
        </is>
      </c>
    </row>
    <row r="38">
      <c r="A38" s="0" t="inlineStr">
        <is>
          <t>P-OTH-3006-18-25600</t>
        </is>
      </c>
      <c r="B38" s="0" t="inlineStr">
        <is>
          <t>Fashion show</t>
        </is>
      </c>
      <c r="C38" s="0" t="inlineStr">
        <is>
          <t>CRM</t>
        </is>
      </c>
      <c r="D38" s="0" t="inlineStr">
        <is>
          <t>CRM Projects</t>
        </is>
      </c>
      <c r="E38" s="0" t="inlineStr">
        <is>
          <t>21.12.2025</t>
        </is>
      </c>
      <c r="F38" s="0" t="inlineStr">
        <is>
          <t>WYAP</t>
        </is>
      </c>
      <c r="G38" s="0" t="inlineStr">
        <is>
          <t>W-OTH-3006-18-25600-202</t>
        </is>
      </c>
      <c r="H38" s="0" t="inlineStr">
        <is>
          <t>VIC PREVIEW - SPRING / SUMMER</t>
        </is>
      </c>
      <c r="I38" s="0" t="inlineStr">
        <is>
          <t>#</t>
        </is>
      </c>
      <c r="J38" s="0" t="inlineStr">
        <is>
          <t>Not assigned</t>
        </is>
      </c>
      <c r="K38" s="0" t="inlineStr">
        <is>
          <t>SSOONG1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J9VU3cXLa2LYQPCdHMvu7Q==" formatRows="0" sort="0" spinCount="100000" hashValue="X6fkb6zTNZwtsIsYWmt/yXxdCoD6IUQ0a9GFDWSjegZZLr/qKh8VqjsaXxIaM3Jo+sdvJMRo2UXm8KhVz0aglw==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I101"/>
  <sheetViews>
    <sheetView workbookViewId="0">
      <selection activeCell="A95" sqref="A95"/>
    </sheetView>
  </sheetViews>
  <sheetFormatPr baseColWidth="8" defaultRowHeight="13.5"/>
  <cols>
    <col width="12.5" bestFit="1" customWidth="1" style="94" min="1" max="1"/>
    <col width="22.25" bestFit="1" customWidth="1" style="94" min="2" max="2"/>
    <col width="16.75" bestFit="1" customWidth="1" style="94" min="3" max="3"/>
    <col hidden="1" outlineLevel="1" width="27.5" customWidth="1" style="94" min="4" max="4"/>
    <col collapsed="1" width="11.5" bestFit="1" customWidth="1" style="94" min="5" max="5"/>
    <col width="22.25" bestFit="1" customWidth="1" style="94" min="6" max="6"/>
    <col width="11.5" bestFit="1" customWidth="1" style="94" min="7" max="7"/>
    <col width="52.5" bestFit="1" customWidth="1" style="94" min="8" max="8"/>
    <col width="9.25" bestFit="1" customWidth="1" style="94" min="9" max="9"/>
  </cols>
  <sheetData>
    <row r="1" ht="15.6" customHeight="1" s="94">
      <c r="A1" s="45" t="inlineStr">
        <is>
          <t>Cost center</t>
        </is>
      </c>
      <c r="B1" s="0" t="inlineStr">
        <is>
          <t>Cost center</t>
        </is>
      </c>
      <c r="C1" s="0" t="inlineStr">
        <is>
          <t>Functional area</t>
        </is>
      </c>
      <c r="D1" s="0" t="inlineStr">
        <is>
          <t>Functional area</t>
        </is>
      </c>
      <c r="E1" s="0" t="inlineStr">
        <is>
          <t>Department</t>
        </is>
      </c>
      <c r="F1" s="0" t="inlineStr">
        <is>
          <t>Cost center category</t>
        </is>
      </c>
      <c r="G1" s="0" t="inlineStr">
        <is>
          <t>User resp.</t>
        </is>
      </c>
      <c r="H1" s="0" t="inlineStr">
        <is>
          <t>Name 1</t>
        </is>
      </c>
      <c r="I1" s="0" t="inlineStr">
        <is>
          <t>District</t>
        </is>
      </c>
    </row>
    <row r="2" hidden="1" s="94">
      <c r="A2" s="0" t="inlineStr">
        <is>
          <t>3006181010</t>
        </is>
      </c>
      <c r="B2" s="0" t="inlineStr">
        <is>
          <t>CN-BA-PEK-BJCW</t>
        </is>
      </c>
      <c r="C2" s="0" t="inlineStr">
        <is>
          <t>CC1200</t>
        </is>
      </c>
      <c r="D2" s="0" t="inlineStr">
        <is>
          <t>Store Exp</t>
        </is>
      </c>
      <c r="E2" s="0" t="inlineStr">
        <is>
          <t>BALBEJ2</t>
        </is>
      </c>
      <c r="F2" s="0" t="inlineStr">
        <is>
          <t>Retail</t>
        </is>
      </c>
      <c r="G2" s="0" t="inlineStr">
        <is>
          <t>IDONG</t>
        </is>
      </c>
      <c r="H2" s="0" t="inlineStr">
        <is>
          <t>巴黎世家贸易(上海)有限公司北京国贸分公司</t>
        </is>
      </c>
      <c r="I2" s="0" t="inlineStr">
        <is>
          <t>82107</t>
        </is>
      </c>
    </row>
    <row r="3" hidden="1" s="94">
      <c r="A3" s="0" t="inlineStr">
        <is>
          <t>3006181014</t>
        </is>
      </c>
      <c r="B3" s="0" t="inlineStr">
        <is>
          <t>CN-BA-PEK-BJGLF</t>
        </is>
      </c>
      <c r="C3" s="0" t="inlineStr">
        <is>
          <t>CC1200</t>
        </is>
      </c>
      <c r="D3" s="0" t="inlineStr">
        <is>
          <t>Store Exp</t>
        </is>
      </c>
      <c r="E3" s="0" t="inlineStr">
        <is>
          <t>BALCNP9</t>
        </is>
      </c>
      <c r="F3" s="0" t="inlineStr">
        <is>
          <t>Retail</t>
        </is>
      </c>
      <c r="G3" s="0" t="inlineStr">
        <is>
          <t>IDONG</t>
        </is>
      </c>
      <c r="H3" s="0" t="inlineStr">
        <is>
          <t>#</t>
        </is>
      </c>
      <c r="I3" s="0" t="inlineStr">
        <is>
          <t>82118</t>
        </is>
      </c>
    </row>
    <row r="4" hidden="1" s="94">
      <c r="A4" s="0" t="inlineStr">
        <is>
          <t>3006181016</t>
        </is>
      </c>
      <c r="B4" s="0" t="inlineStr">
        <is>
          <t>CN-BA-PEK-BJSLT</t>
        </is>
      </c>
      <c r="C4" s="0" t="inlineStr">
        <is>
          <t>CC1200</t>
        </is>
      </c>
      <c r="D4" s="0" t="inlineStr">
        <is>
          <t>Store Exp</t>
        </is>
      </c>
      <c r="E4" s="0" t="inlineStr">
        <is>
          <t>BALBEJ</t>
        </is>
      </c>
      <c r="F4" s="0" t="inlineStr">
        <is>
          <t>Retail</t>
        </is>
      </c>
      <c r="G4" s="0" t="inlineStr">
        <is>
          <t>IDONG</t>
        </is>
      </c>
      <c r="H4" s="0" t="inlineStr">
        <is>
          <t>巴黎世家贸易（上海）有限公司北京分公司</t>
        </is>
      </c>
      <c r="I4" s="0" t="inlineStr">
        <is>
          <t>82105</t>
        </is>
      </c>
    </row>
    <row r="5" hidden="1" s="94">
      <c r="A5" s="0" t="inlineStr">
        <is>
          <t>3006181018</t>
        </is>
      </c>
      <c r="B5" s="0" t="inlineStr">
        <is>
          <t>CN-BA-PEK-BJSKP 2F</t>
        </is>
      </c>
      <c r="C5" s="0" t="inlineStr">
        <is>
          <t>CC1200</t>
        </is>
      </c>
      <c r="D5" s="0" t="inlineStr">
        <is>
          <t>Store Exp</t>
        </is>
      </c>
      <c r="E5" s="0" t="inlineStr">
        <is>
          <t>BALCNP28</t>
        </is>
      </c>
      <c r="F5" s="0" t="inlineStr">
        <is>
          <t>Retail</t>
        </is>
      </c>
      <c r="G5" s="0" t="inlineStr">
        <is>
          <t>IDONG</t>
        </is>
      </c>
      <c r="H5" s="0" t="inlineStr">
        <is>
          <t>#</t>
        </is>
      </c>
      <c r="I5" s="0" t="inlineStr">
        <is>
          <t>82143</t>
        </is>
      </c>
    </row>
    <row r="6" hidden="1" s="94">
      <c r="A6" s="0" t="inlineStr">
        <is>
          <t>3006181024</t>
        </is>
      </c>
      <c r="B6" s="0" t="inlineStr">
        <is>
          <t>CN-BA-PEK-BJSKP 1F</t>
        </is>
      </c>
      <c r="C6" s="0" t="inlineStr">
        <is>
          <t>CC1200</t>
        </is>
      </c>
      <c r="D6" s="0" t="inlineStr">
        <is>
          <t>Store Exp</t>
        </is>
      </c>
      <c r="E6" s="0" t="inlineStr">
        <is>
          <t>BALCNP27</t>
        </is>
      </c>
      <c r="F6" s="0" t="inlineStr">
        <is>
          <t>Retail</t>
        </is>
      </c>
      <c r="G6" s="0" t="inlineStr">
        <is>
          <t>IDONG</t>
        </is>
      </c>
      <c r="H6" s="0" t="inlineStr">
        <is>
          <t>#</t>
        </is>
      </c>
      <c r="I6" s="0" t="inlineStr">
        <is>
          <t>82136</t>
        </is>
      </c>
    </row>
    <row r="7" hidden="1" s="94">
      <c r="A7" s="0" t="inlineStr">
        <is>
          <t>3006181026</t>
        </is>
      </c>
      <c r="B7" s="0" t="inlineStr">
        <is>
          <t>CN-BA-PEK-BJSKP 4F</t>
        </is>
      </c>
      <c r="C7" s="0" t="inlineStr">
        <is>
          <t>CC1200</t>
        </is>
      </c>
      <c r="D7" s="0" t="inlineStr">
        <is>
          <t>Store Exp</t>
        </is>
      </c>
      <c r="E7" s="0" t="inlineStr">
        <is>
          <t>BALCNP29</t>
        </is>
      </c>
      <c r="F7" s="0" t="inlineStr">
        <is>
          <t>Retail</t>
        </is>
      </c>
      <c r="G7" s="0" t="inlineStr">
        <is>
          <t>IDONG</t>
        </is>
      </c>
      <c r="H7" s="0" t="inlineStr">
        <is>
          <t>#</t>
        </is>
      </c>
      <c r="I7" s="0" t="inlineStr">
        <is>
          <t>82137</t>
        </is>
      </c>
    </row>
    <row r="8" hidden="1" s="94">
      <c r="A8" s="0" t="inlineStr">
        <is>
          <t>3006181028</t>
        </is>
      </c>
      <c r="B8" s="0" t="inlineStr">
        <is>
          <t>CN-BA-PEK-BJSKP S</t>
        </is>
      </c>
      <c r="C8" s="0" t="inlineStr">
        <is>
          <t>CC1200</t>
        </is>
      </c>
      <c r="D8" s="0" t="inlineStr">
        <is>
          <t>Store Exp</t>
        </is>
      </c>
      <c r="E8" s="0" t="inlineStr">
        <is>
          <t>BALCNP39</t>
        </is>
      </c>
      <c r="F8" s="0" t="inlineStr">
        <is>
          <t>Retail</t>
        </is>
      </c>
      <c r="G8" s="0" t="inlineStr">
        <is>
          <t>IDONG</t>
        </is>
      </c>
      <c r="H8" s="0" t="inlineStr">
        <is>
          <t>#</t>
        </is>
      </c>
      <c r="I8" s="0" t="inlineStr">
        <is>
          <t>82146</t>
        </is>
      </c>
    </row>
    <row r="9" hidden="1" s="94">
      <c r="A9" s="0" t="inlineStr">
        <is>
          <t>3006181030</t>
        </is>
      </c>
      <c r="B9" s="0" t="inlineStr">
        <is>
          <t>CN-BA-CHS-CSIFS</t>
        </is>
      </c>
      <c r="C9" s="0" t="inlineStr">
        <is>
          <t>CC1200</t>
        </is>
      </c>
      <c r="D9" s="0" t="inlineStr">
        <is>
          <t>Store Exp</t>
        </is>
      </c>
      <c r="E9" s="0" t="inlineStr">
        <is>
          <t>BALCNP19</t>
        </is>
      </c>
      <c r="F9" s="0" t="inlineStr">
        <is>
          <t>Retail</t>
        </is>
      </c>
      <c r="G9" s="0" t="inlineStr">
        <is>
          <t>IDONG</t>
        </is>
      </c>
      <c r="H9" s="0" t="inlineStr">
        <is>
          <t>巴黎世家贸易(上海)有限公司长沙第一分公司</t>
        </is>
      </c>
      <c r="I9" s="0" t="inlineStr">
        <is>
          <t>82133</t>
        </is>
      </c>
    </row>
    <row r="10" hidden="1" s="94">
      <c r="A10" s="0" t="inlineStr">
        <is>
          <t>3006181032</t>
        </is>
      </c>
      <c r="B10" s="0" t="inlineStr">
        <is>
          <t>CN-BA-CHE-CDFV</t>
        </is>
      </c>
      <c r="C10" s="0" t="inlineStr">
        <is>
          <t>CC1200</t>
        </is>
      </c>
      <c r="D10" s="0" t="inlineStr">
        <is>
          <t>Store Exp</t>
        </is>
      </c>
      <c r="E10" s="0" t="inlineStr">
        <is>
          <t>BALCNP47</t>
        </is>
      </c>
      <c r="F10" s="0" t="inlineStr">
        <is>
          <t>Retail</t>
        </is>
      </c>
      <c r="G10" s="0" t="inlineStr">
        <is>
          <t>IDONG</t>
        </is>
      </c>
      <c r="H10" s="0" t="inlineStr">
        <is>
          <t>巴黎世家贸易（上海）有限公司成都第二分公司</t>
        </is>
      </c>
      <c r="I10" s="0" t="inlineStr">
        <is>
          <t>82149</t>
        </is>
      </c>
    </row>
    <row r="11" hidden="1" s="94">
      <c r="A11" s="0" t="inlineStr">
        <is>
          <t>3006181034</t>
        </is>
      </c>
      <c r="B11" s="0" t="inlineStr">
        <is>
          <t>CN-BA-CHE-CDIFS</t>
        </is>
      </c>
      <c r="C11" s="0" t="inlineStr">
        <is>
          <t>CC1200</t>
        </is>
      </c>
      <c r="D11" s="0" t="inlineStr">
        <is>
          <t>Store Exp</t>
        </is>
      </c>
      <c r="E11" s="0" t="inlineStr">
        <is>
          <t>BALCNP7</t>
        </is>
      </c>
      <c r="F11" s="0" t="inlineStr">
        <is>
          <t>Retail</t>
        </is>
      </c>
      <c r="G11" s="0" t="inlineStr">
        <is>
          <t>IDONG</t>
        </is>
      </c>
      <c r="H11" s="0" t="inlineStr">
        <is>
          <t>巴黎世家贸易(上海)有限公司成都国际金融中心分公司</t>
        </is>
      </c>
      <c r="I11" s="0" t="inlineStr">
        <is>
          <t>82119</t>
        </is>
      </c>
    </row>
    <row r="12" hidden="1" s="94">
      <c r="A12" s="0" t="inlineStr">
        <is>
          <t>3006181036</t>
        </is>
      </c>
      <c r="B12" s="0" t="inlineStr">
        <is>
          <t>CN-BA-CHE-CDYT</t>
        </is>
      </c>
      <c r="C12" s="0" t="inlineStr">
        <is>
          <t>CC1200</t>
        </is>
      </c>
      <c r="D12" s="0" t="inlineStr">
        <is>
          <t>Store Exp</t>
        </is>
      </c>
      <c r="E12" s="0" t="inlineStr">
        <is>
          <t>BALCNP42</t>
        </is>
      </c>
      <c r="F12" s="0" t="inlineStr">
        <is>
          <t>Retail</t>
        </is>
      </c>
      <c r="G12" s="0" t="inlineStr">
        <is>
          <t>IDONG</t>
        </is>
      </c>
      <c r="H12" s="0" t="inlineStr">
        <is>
          <t>巴黎世家贸易（上海）有限公司成都第一分公司</t>
        </is>
      </c>
      <c r="I12" s="0" t="inlineStr">
        <is>
          <t>82148</t>
        </is>
      </c>
    </row>
    <row r="13" hidden="1" s="94">
      <c r="A13" s="0" t="inlineStr">
        <is>
          <t>3006181038</t>
        </is>
      </c>
      <c r="B13" s="0" t="inlineStr">
        <is>
          <t>CN-BA-CHO-CQMIXC</t>
        </is>
      </c>
      <c r="C13" s="0" t="inlineStr">
        <is>
          <t>CC1200</t>
        </is>
      </c>
      <c r="D13" s="0" t="inlineStr">
        <is>
          <t>Store Exp</t>
        </is>
      </c>
      <c r="E13" s="0" t="inlineStr">
        <is>
          <t>BALCNP14</t>
        </is>
      </c>
      <c r="F13" s="0" t="inlineStr">
        <is>
          <t>Retail</t>
        </is>
      </c>
      <c r="G13" s="0" t="inlineStr">
        <is>
          <t>IDONG</t>
        </is>
      </c>
      <c r="H13" s="0" t="inlineStr">
        <is>
          <t>巴黎世家贸易(上海)有限公司重庆第一分公司</t>
        </is>
      </c>
      <c r="I13" s="0" t="inlineStr">
        <is>
          <t>82123</t>
        </is>
      </c>
    </row>
    <row r="14" hidden="1" s="94">
      <c r="A14" s="0" t="inlineStr">
        <is>
          <t>3006181040</t>
        </is>
      </c>
      <c r="B14" s="0" t="inlineStr">
        <is>
          <t>CN-BA-HAZ-HZTW</t>
        </is>
      </c>
      <c r="C14" s="0" t="inlineStr">
        <is>
          <t>CC1200</t>
        </is>
      </c>
      <c r="D14" s="0" t="inlineStr">
        <is>
          <t>Store Exp</t>
        </is>
      </c>
      <c r="E14" s="0" t="inlineStr">
        <is>
          <t>BALCNP17</t>
        </is>
      </c>
      <c r="F14" s="0" t="inlineStr">
        <is>
          <t>Retail</t>
        </is>
      </c>
      <c r="G14" s="0" t="inlineStr">
        <is>
          <t>IDONG</t>
        </is>
      </c>
      <c r="H14" s="0" t="inlineStr">
        <is>
          <t>#</t>
        </is>
      </c>
      <c r="I14" s="0" t="inlineStr">
        <is>
          <t>82126</t>
        </is>
      </c>
    </row>
    <row r="15" hidden="1" s="94">
      <c r="A15" s="0" t="inlineStr">
        <is>
          <t>3006181042</t>
        </is>
      </c>
      <c r="B15" s="0" t="inlineStr">
        <is>
          <t>CN-BA-HAR-HBCH</t>
        </is>
      </c>
      <c r="C15" s="0" t="inlineStr">
        <is>
          <t>CC1200</t>
        </is>
      </c>
      <c r="D15" s="0" t="inlineStr">
        <is>
          <t>Store Exp</t>
        </is>
      </c>
      <c r="E15" s="0" t="inlineStr">
        <is>
          <t>BALSHA2</t>
        </is>
      </c>
      <c r="F15" s="0" t="inlineStr">
        <is>
          <t>Retail</t>
        </is>
      </c>
      <c r="G15" s="0" t="inlineStr">
        <is>
          <t>IDONG</t>
        </is>
      </c>
      <c r="H15" s="0" t="inlineStr">
        <is>
          <t>巴黎世家贸易（上海）有限公司哈尔滨第一分公司</t>
        </is>
      </c>
      <c r="I15" s="0" t="inlineStr">
        <is>
          <t>82106</t>
        </is>
      </c>
    </row>
    <row r="16" hidden="1" s="94">
      <c r="A16" s="0" t="inlineStr">
        <is>
          <t>3006181044</t>
        </is>
      </c>
      <c r="B16" s="0" t="inlineStr">
        <is>
          <t>CN-BA-KUM-KMSP66</t>
        </is>
      </c>
      <c r="C16" s="0" t="inlineStr">
        <is>
          <t>CC1200</t>
        </is>
      </c>
      <c r="D16" s="0" t="inlineStr">
        <is>
          <t>Store Exp</t>
        </is>
      </c>
      <c r="E16" s="0" t="inlineStr">
        <is>
          <t>BALCNP25</t>
        </is>
      </c>
      <c r="F16" s="0" t="inlineStr">
        <is>
          <t>Retail</t>
        </is>
      </c>
      <c r="G16" s="0" t="inlineStr">
        <is>
          <t>IDONG</t>
        </is>
      </c>
      <c r="H16" s="0" t="inlineStr">
        <is>
          <t>巴黎世家贸易（上海）有限公司昆明第一分公司</t>
        </is>
      </c>
      <c r="I16" s="0" t="inlineStr">
        <is>
          <t>82150</t>
        </is>
      </c>
    </row>
    <row r="17" hidden="1" s="94">
      <c r="A17" s="0" t="inlineStr">
        <is>
          <t>3006181046</t>
        </is>
      </c>
      <c r="B17" s="0" t="inlineStr">
        <is>
          <t>CN-BA-NAJ-NJDJ</t>
        </is>
      </c>
      <c r="C17" s="0" t="inlineStr">
        <is>
          <t>CC1200</t>
        </is>
      </c>
      <c r="D17" s="0" t="inlineStr">
        <is>
          <t>Store Exp</t>
        </is>
      </c>
      <c r="E17" s="0" t="inlineStr">
        <is>
          <t>BALCNP40</t>
        </is>
      </c>
      <c r="F17" s="0" t="inlineStr">
        <is>
          <t>Retail</t>
        </is>
      </c>
      <c r="G17" s="0" t="inlineStr">
        <is>
          <t>IDONG</t>
        </is>
      </c>
      <c r="H17" s="0" t="inlineStr">
        <is>
          <t>#</t>
        </is>
      </c>
      <c r="I17" s="0" t="inlineStr">
        <is>
          <t>82147</t>
        </is>
      </c>
    </row>
    <row r="18" hidden="1" s="94">
      <c r="A18" s="0" t="inlineStr">
        <is>
          <t>3006181048</t>
        </is>
      </c>
      <c r="B18" s="0" t="inlineStr">
        <is>
          <t>CN-BA-TAO-QDHS</t>
        </is>
      </c>
      <c r="C18" s="0" t="inlineStr">
        <is>
          <t>CC1200</t>
        </is>
      </c>
      <c r="D18" s="0" t="inlineStr">
        <is>
          <t>Store Exp</t>
        </is>
      </c>
      <c r="E18" s="0" t="inlineStr">
        <is>
          <t>BALCNP24</t>
        </is>
      </c>
      <c r="F18" s="0" t="inlineStr">
        <is>
          <t>Retail</t>
        </is>
      </c>
      <c r="G18" s="0" t="inlineStr">
        <is>
          <t>IDONG</t>
        </is>
      </c>
      <c r="H18" s="0" t="inlineStr">
        <is>
          <t>#</t>
        </is>
      </c>
      <c r="I18" s="0" t="inlineStr">
        <is>
          <t>82131</t>
        </is>
      </c>
    </row>
    <row r="19" hidden="1" s="94">
      <c r="A19" s="0" t="inlineStr">
        <is>
          <t>3006181050</t>
        </is>
      </c>
      <c r="B19" s="0" t="inlineStr">
        <is>
          <t>CN-BA-SHA-SHFV</t>
        </is>
      </c>
      <c r="C19" s="0" t="inlineStr">
        <is>
          <t>CC1200</t>
        </is>
      </c>
      <c r="D19" s="0" t="inlineStr">
        <is>
          <t>Store Exp</t>
        </is>
      </c>
      <c r="E19" s="0" t="inlineStr">
        <is>
          <t>BALCNP18</t>
        </is>
      </c>
      <c r="F19" s="0" t="inlineStr">
        <is>
          <t>Retail</t>
        </is>
      </c>
      <c r="G19" s="0" t="inlineStr">
        <is>
          <t>IDONG</t>
        </is>
      </c>
      <c r="H19" s="0" t="inlineStr">
        <is>
          <t>巴黎世家贸易（上海）有限公司浦东第四分公司</t>
        </is>
      </c>
      <c r="I19" s="0" t="inlineStr">
        <is>
          <t>82132</t>
        </is>
      </c>
    </row>
    <row r="20" hidden="1" s="94">
      <c r="A20" s="0" t="inlineStr">
        <is>
          <t>3006181052</t>
        </is>
      </c>
      <c r="B20" s="0" t="inlineStr">
        <is>
          <t>CN-BA-SHA-SHGG66</t>
        </is>
      </c>
      <c r="C20" s="0" t="inlineStr">
        <is>
          <t>CC1200</t>
        </is>
      </c>
      <c r="D20" s="0" t="inlineStr">
        <is>
          <t>Store Exp</t>
        </is>
      </c>
      <c r="E20" s="0" t="inlineStr">
        <is>
          <t>BALCNP8</t>
        </is>
      </c>
      <c r="F20" s="0" t="inlineStr">
        <is>
          <t>Retail</t>
        </is>
      </c>
      <c r="G20" s="0" t="inlineStr">
        <is>
          <t>IDONG</t>
        </is>
      </c>
      <c r="H20" s="0" t="inlineStr">
        <is>
          <t>巴黎世家贸易（上海）有限公司虹桥路分公司</t>
        </is>
      </c>
      <c r="I20" s="0" t="inlineStr">
        <is>
          <t>82117</t>
        </is>
      </c>
    </row>
    <row r="21" hidden="1" s="94">
      <c r="A21" s="0" t="inlineStr">
        <is>
          <t>3006181054</t>
        </is>
      </c>
      <c r="B21" s="0" t="inlineStr">
        <is>
          <t>CN-BA-SHA-SHP66</t>
        </is>
      </c>
      <c r="C21" s="0" t="inlineStr">
        <is>
          <t>CC1200</t>
        </is>
      </c>
      <c r="D21" s="0" t="inlineStr">
        <is>
          <t>Store Exp</t>
        </is>
      </c>
      <c r="E21" s="0" t="inlineStr">
        <is>
          <t>BALCNP38</t>
        </is>
      </c>
      <c r="F21" s="0" t="inlineStr">
        <is>
          <t>Retail</t>
        </is>
      </c>
      <c r="G21" s="0" t="inlineStr">
        <is>
          <t>IDONG</t>
        </is>
      </c>
      <c r="H21" s="0" t="inlineStr">
        <is>
          <t>巴黎世家贸易（上海）有限公司静安第一分公司</t>
        </is>
      </c>
      <c r="I21" s="0" t="inlineStr">
        <is>
          <t>82144</t>
        </is>
      </c>
    </row>
    <row r="22" hidden="1" s="94">
      <c r="A22" s="0" t="inlineStr">
        <is>
          <t>3006181056</t>
        </is>
      </c>
      <c r="B22" s="0" t="inlineStr">
        <is>
          <t>CN-BA-SHA-SHREEL</t>
        </is>
      </c>
      <c r="C22" s="0" t="inlineStr">
        <is>
          <t>CC1200</t>
        </is>
      </c>
      <c r="D22" s="0" t="inlineStr">
        <is>
          <t>Store Exp</t>
        </is>
      </c>
      <c r="E22" s="0" t="inlineStr">
        <is>
          <t>BALCNP1</t>
        </is>
      </c>
      <c r="F22" s="0" t="inlineStr">
        <is>
          <t>Retail</t>
        </is>
      </c>
      <c r="G22" s="0" t="inlineStr">
        <is>
          <t>IDONG</t>
        </is>
      </c>
      <c r="H22" s="0" t="inlineStr">
        <is>
          <t>#</t>
        </is>
      </c>
      <c r="I22" s="0" t="inlineStr">
        <is>
          <t>82112</t>
        </is>
      </c>
    </row>
    <row r="23" hidden="1" s="94">
      <c r="A23" s="0" t="inlineStr">
        <is>
          <t>3006181058</t>
        </is>
      </c>
      <c r="B23" s="0" t="inlineStr">
        <is>
          <t>CN-BA-SHY-SYF66</t>
        </is>
      </c>
      <c r="C23" s="0" t="inlineStr">
        <is>
          <t>CC1200</t>
        </is>
      </c>
      <c r="D23" s="0" t="inlineStr">
        <is>
          <t>Store Exp</t>
        </is>
      </c>
      <c r="E23" s="0" t="inlineStr">
        <is>
          <t>BALCNP5</t>
        </is>
      </c>
      <c r="F23" s="0" t="inlineStr">
        <is>
          <t>Retail</t>
        </is>
      </c>
      <c r="G23" s="0" t="inlineStr">
        <is>
          <t>IDONG</t>
        </is>
      </c>
      <c r="H23" s="0" t="inlineStr">
        <is>
          <t>巴黎世家贸易（上海）有限公司沈阳第一分公司</t>
        </is>
      </c>
      <c r="I23" s="0" t="inlineStr">
        <is>
          <t>82113</t>
        </is>
      </c>
    </row>
    <row r="24" hidden="1" s="94">
      <c r="A24" s="0" t="inlineStr">
        <is>
          <t>3006181060</t>
        </is>
      </c>
      <c r="B24" s="0" t="inlineStr">
        <is>
          <t>CN-BA-SZX-SZMIXC</t>
        </is>
      </c>
      <c r="C24" s="0" t="inlineStr">
        <is>
          <t>CC1200</t>
        </is>
      </c>
      <c r="D24" s="0" t="inlineStr">
        <is>
          <t>Store Exp</t>
        </is>
      </c>
      <c r="E24" s="0" t="inlineStr">
        <is>
          <t>BALSHEN</t>
        </is>
      </c>
      <c r="F24" s="0" t="inlineStr">
        <is>
          <t>Retail</t>
        </is>
      </c>
      <c r="G24" s="0" t="inlineStr">
        <is>
          <t>IDONG</t>
        </is>
      </c>
      <c r="H24" s="0" t="inlineStr">
        <is>
          <t>巴黎世家贸易(上海)有限公司深圳分公司</t>
        </is>
      </c>
      <c r="I24" s="0" t="inlineStr">
        <is>
          <t>82103</t>
        </is>
      </c>
    </row>
    <row r="25" hidden="1" s="94">
      <c r="A25" s="0" t="inlineStr">
        <is>
          <t>3006181062</t>
        </is>
      </c>
      <c r="B25" s="0" t="inlineStr">
        <is>
          <t>CN-BA-SUZ-SZVO</t>
        </is>
      </c>
      <c r="C25" s="0" t="inlineStr">
        <is>
          <t>CC1200</t>
        </is>
      </c>
      <c r="D25" s="0" t="inlineStr">
        <is>
          <t>Store Exp</t>
        </is>
      </c>
      <c r="E25" s="0" t="inlineStr">
        <is>
          <t>BALCNP37</t>
        </is>
      </c>
      <c r="F25" s="0" t="inlineStr">
        <is>
          <t>Retail</t>
        </is>
      </c>
      <c r="G25" s="0" t="inlineStr">
        <is>
          <t>IDONG</t>
        </is>
      </c>
      <c r="H25" s="0" t="inlineStr">
        <is>
          <t>巴黎世家贸易(上海)有限公司苏州第一分公司</t>
        </is>
      </c>
      <c r="I25" s="0" t="inlineStr">
        <is>
          <t>82145</t>
        </is>
      </c>
    </row>
    <row r="26" hidden="1" s="94">
      <c r="A26" s="0" t="inlineStr">
        <is>
          <t>3006181064</t>
        </is>
      </c>
      <c r="B26" s="0" t="inlineStr">
        <is>
          <t>CN-BA-TSN-TJFV</t>
        </is>
      </c>
      <c r="C26" s="0" t="inlineStr">
        <is>
          <t>CC1200</t>
        </is>
      </c>
      <c r="D26" s="0" t="inlineStr">
        <is>
          <t>Store Exp</t>
        </is>
      </c>
      <c r="E26" s="0" t="inlineStr">
        <is>
          <t>BALCNP15</t>
        </is>
      </c>
      <c r="F26" s="0" t="inlineStr">
        <is>
          <t>Retail</t>
        </is>
      </c>
      <c r="G26" s="0" t="inlineStr">
        <is>
          <t>IDONG</t>
        </is>
      </c>
      <c r="H26" s="0" t="inlineStr">
        <is>
          <t>巴黎世家贸易（上海）有限公司天津第一分公司</t>
        </is>
      </c>
      <c r="I26" s="0" t="inlineStr">
        <is>
          <t>82125</t>
        </is>
      </c>
    </row>
    <row r="27" hidden="1" s="94">
      <c r="A27" s="0" t="inlineStr">
        <is>
          <t>3006181068</t>
        </is>
      </c>
      <c r="B27" s="0" t="inlineStr">
        <is>
          <t>CN-BA-XMN-XMMIXC</t>
        </is>
      </c>
      <c r="C27" s="0" t="inlineStr">
        <is>
          <t>CC1200</t>
        </is>
      </c>
      <c r="D27" s="0" t="inlineStr">
        <is>
          <t>Store Exp</t>
        </is>
      </c>
      <c r="E27" s="0" t="inlineStr">
        <is>
          <t>BALCNP22</t>
        </is>
      </c>
      <c r="F27" s="0" t="inlineStr">
        <is>
          <t>Retail</t>
        </is>
      </c>
      <c r="G27" s="0" t="inlineStr">
        <is>
          <t>IDONG</t>
        </is>
      </c>
      <c r="H27" s="0" t="inlineStr">
        <is>
          <t>巴黎世家贸易（上海）有限公司厦门第一分公司</t>
        </is>
      </c>
      <c r="I27" s="0" t="inlineStr">
        <is>
          <t>82139</t>
        </is>
      </c>
    </row>
    <row r="28" hidden="1" s="94">
      <c r="A28" s="0" t="inlineStr">
        <is>
          <t>3006181070</t>
        </is>
      </c>
      <c r="B28" s="0" t="inlineStr">
        <is>
          <t>CN-BA-XIN-XASKP M</t>
        </is>
      </c>
      <c r="C28" s="0" t="inlineStr">
        <is>
          <t>CC1200</t>
        </is>
      </c>
      <c r="D28" s="0" t="inlineStr">
        <is>
          <t>Store Exp</t>
        </is>
      </c>
      <c r="E28" s="0" t="inlineStr">
        <is>
          <t>BALCNP23</t>
        </is>
      </c>
      <c r="F28" s="0" t="inlineStr">
        <is>
          <t>Retail</t>
        </is>
      </c>
      <c r="G28" s="0" t="inlineStr">
        <is>
          <t>IDONG</t>
        </is>
      </c>
      <c r="H28" s="0" t="inlineStr">
        <is>
          <t>#</t>
        </is>
      </c>
      <c r="I28" s="0" t="inlineStr">
        <is>
          <t>82128</t>
        </is>
      </c>
    </row>
    <row r="29" hidden="1" s="94">
      <c r="A29" s="0" t="inlineStr">
        <is>
          <t>3006181072</t>
        </is>
      </c>
      <c r="B29" s="0" t="inlineStr">
        <is>
          <t>CN-BA-XIN-XASKP W</t>
        </is>
      </c>
      <c r="C29" s="0" t="inlineStr">
        <is>
          <t>CC1200</t>
        </is>
      </c>
      <c r="D29" s="0" t="inlineStr">
        <is>
          <t>Store Exp</t>
        </is>
      </c>
      <c r="E29" s="0" t="inlineStr">
        <is>
          <t>BALCNP26</t>
        </is>
      </c>
      <c r="F29" s="0" t="inlineStr">
        <is>
          <t>Retail</t>
        </is>
      </c>
      <c r="G29" s="0" t="inlineStr">
        <is>
          <t>IDONG</t>
        </is>
      </c>
      <c r="H29" s="0" t="inlineStr">
        <is>
          <t>#</t>
        </is>
      </c>
      <c r="I29" s="0" t="inlineStr">
        <is>
          <t>82134</t>
        </is>
      </c>
    </row>
    <row r="30" hidden="1" s="94">
      <c r="A30" s="0" t="inlineStr">
        <is>
          <t>3006181074</t>
        </is>
      </c>
      <c r="B30" s="0" t="inlineStr">
        <is>
          <t>CN-BA-ZHZ-ZZDP</t>
        </is>
      </c>
      <c r="C30" s="0" t="inlineStr">
        <is>
          <t>CC1200</t>
        </is>
      </c>
      <c r="D30" s="0" t="inlineStr">
        <is>
          <t>Store Exp</t>
        </is>
      </c>
      <c r="E30" s="0" t="inlineStr">
        <is>
          <t>BALCNP20</t>
        </is>
      </c>
      <c r="F30" s="0" t="inlineStr">
        <is>
          <t>Retail</t>
        </is>
      </c>
      <c r="G30" s="0" t="inlineStr">
        <is>
          <t>IDONG</t>
        </is>
      </c>
      <c r="H30" s="0" t="inlineStr">
        <is>
          <t>#</t>
        </is>
      </c>
      <c r="I30" s="0" t="inlineStr">
        <is>
          <t>82138</t>
        </is>
      </c>
    </row>
    <row r="31" hidden="1" s="94">
      <c r="A31" s="0" t="inlineStr">
        <is>
          <t>3006181078</t>
        </is>
      </c>
      <c r="B31" s="0" t="inlineStr">
        <is>
          <t>CN-BA-CHO-CQIFS</t>
        </is>
      </c>
      <c r="C31" s="0" t="inlineStr">
        <is>
          <t>CC1200</t>
        </is>
      </c>
      <c r="D31" s="0" t="inlineStr">
        <is>
          <t>Store Exp</t>
        </is>
      </c>
      <c r="E31" s="0" t="inlineStr">
        <is>
          <t>BALCNP52</t>
        </is>
      </c>
      <c r="F31" s="0" t="inlineStr">
        <is>
          <t>Retail</t>
        </is>
      </c>
      <c r="G31" s="0" t="inlineStr">
        <is>
          <t>IDONG</t>
        </is>
      </c>
      <c r="H31" s="0" t="inlineStr">
        <is>
          <t>巴黎世家贸易（上海）有限公司重庆第二分公司</t>
        </is>
      </c>
      <c r="I31" s="0" t="inlineStr">
        <is>
          <t>82155</t>
        </is>
      </c>
    </row>
    <row r="32" hidden="1" s="94">
      <c r="A32" s="0" t="inlineStr">
        <is>
          <t>3006181082</t>
        </is>
      </c>
      <c r="B32" s="0" t="inlineStr">
        <is>
          <t>CN-BA-DAL-DLO66</t>
        </is>
      </c>
      <c r="C32" s="0" t="inlineStr">
        <is>
          <t>CC1200</t>
        </is>
      </c>
      <c r="D32" s="0" t="inlineStr">
        <is>
          <t>Store Exp</t>
        </is>
      </c>
      <c r="E32" s="0" t="inlineStr">
        <is>
          <t>BALCNP43</t>
        </is>
      </c>
      <c r="F32" s="0" t="inlineStr">
        <is>
          <t>Retail</t>
        </is>
      </c>
      <c r="G32" s="0" t="inlineStr">
        <is>
          <t>IDONG</t>
        </is>
      </c>
      <c r="H32" s="0" t="inlineStr">
        <is>
          <t>巴黎世家贸易（上海）有限公司大连第一分公司</t>
        </is>
      </c>
      <c r="I32" s="0" t="inlineStr">
        <is>
          <t>82164</t>
        </is>
      </c>
    </row>
    <row r="33" hidden="1" s="94">
      <c r="A33" s="0" t="inlineStr">
        <is>
          <t>3006181084</t>
        </is>
      </c>
      <c r="B33" s="0" t="inlineStr">
        <is>
          <t>CN-BA-SHA-FS</t>
        </is>
      </c>
      <c r="C33" s="0" t="inlineStr">
        <is>
          <t>CC1200</t>
        </is>
      </c>
      <c r="D33" s="0" t="inlineStr">
        <is>
          <t>Store Exp</t>
        </is>
      </c>
      <c r="E33" s="0" t="inlineStr">
        <is>
          <t>BALCFS2</t>
        </is>
      </c>
      <c r="F33" s="0" t="inlineStr">
        <is>
          <t>Retail</t>
        </is>
      </c>
      <c r="G33" s="0" t="inlineStr">
        <is>
          <t>CLIN24</t>
        </is>
      </c>
      <c r="H33" s="0" t="inlineStr">
        <is>
          <t>#</t>
        </is>
      </c>
      <c r="I33" s="0" t="inlineStr">
        <is>
          <t>82130</t>
        </is>
      </c>
    </row>
    <row r="34" hidden="1" s="94">
      <c r="A34" s="0" t="inlineStr">
        <is>
          <t>3006181088</t>
        </is>
      </c>
      <c r="B34" s="0" t="inlineStr">
        <is>
          <t>CN-BA-HAZ-HZMIXC</t>
        </is>
      </c>
      <c r="C34" s="0" t="inlineStr">
        <is>
          <t>CC1200</t>
        </is>
      </c>
      <c r="D34" s="0" t="inlineStr">
        <is>
          <t>Store Exp</t>
        </is>
      </c>
      <c r="E34" s="0" t="inlineStr">
        <is>
          <t>BALCNP54</t>
        </is>
      </c>
      <c r="F34" s="0" t="inlineStr">
        <is>
          <t>Retail</t>
        </is>
      </c>
      <c r="G34" s="0" t="inlineStr">
        <is>
          <t>IDONG</t>
        </is>
      </c>
      <c r="H34" s="0" t="inlineStr">
        <is>
          <t>巴黎世家贸易（上海）有限公司杭州第二分公司</t>
        </is>
      </c>
      <c r="I34" s="0" t="inlineStr">
        <is>
          <t>82173</t>
        </is>
      </c>
    </row>
    <row r="35" hidden="1" s="94">
      <c r="A35" s="0" t="inlineStr">
        <is>
          <t>3006181090</t>
        </is>
      </c>
      <c r="B35" s="0" t="inlineStr">
        <is>
          <t>CN-BA-HAZ-HZYT</t>
        </is>
      </c>
      <c r="C35" s="0" t="inlineStr">
        <is>
          <t>CC1200</t>
        </is>
      </c>
      <c r="D35" s="0" t="inlineStr">
        <is>
          <t>Store Exp</t>
        </is>
      </c>
      <c r="E35" s="0" t="inlineStr">
        <is>
          <t>BALCNP45</t>
        </is>
      </c>
      <c r="F35" s="0" t="inlineStr">
        <is>
          <t>Retail</t>
        </is>
      </c>
      <c r="G35" s="0" t="inlineStr">
        <is>
          <t>IDONG</t>
        </is>
      </c>
      <c r="H35" s="0" t="inlineStr">
        <is>
          <t>巴黎世家贸易（上海）有限公司杭州第一分公司</t>
        </is>
      </c>
      <c r="I35" s="0" t="inlineStr">
        <is>
          <t>82151</t>
        </is>
      </c>
    </row>
    <row r="36" hidden="1" s="94">
      <c r="A36" s="0" t="inlineStr">
        <is>
          <t>3006181092</t>
        </is>
      </c>
      <c r="B36" s="0" t="inlineStr">
        <is>
          <t>CN-BA-NGB-NBHK</t>
        </is>
      </c>
      <c r="C36" s="0" t="inlineStr">
        <is>
          <t>CC1200</t>
        </is>
      </c>
      <c r="D36" s="0" t="inlineStr">
        <is>
          <t>Store Exp</t>
        </is>
      </c>
      <c r="E36" s="0" t="inlineStr">
        <is>
          <t>BALCNP34</t>
        </is>
      </c>
      <c r="F36" s="0" t="inlineStr">
        <is>
          <t>Retail</t>
        </is>
      </c>
      <c r="G36" s="0" t="inlineStr">
        <is>
          <t>IDONG</t>
        </is>
      </c>
      <c r="H36" s="0" t="inlineStr">
        <is>
          <t>巴黎世家贸易（上海）有限公司宁波第一分公司</t>
        </is>
      </c>
      <c r="I36" s="0" t="inlineStr">
        <is>
          <t>82158</t>
        </is>
      </c>
    </row>
    <row r="37" hidden="1" s="94">
      <c r="A37" s="0" t="inlineStr">
        <is>
          <t>3006181100</t>
        </is>
      </c>
      <c r="B37" s="0" t="inlineStr">
        <is>
          <t>CN-BA-SHA-SHIFC</t>
        </is>
      </c>
      <c r="C37" s="0" t="inlineStr">
        <is>
          <t>CC1200</t>
        </is>
      </c>
      <c r="D37" s="0" t="inlineStr">
        <is>
          <t>Store Exp</t>
        </is>
      </c>
      <c r="E37" s="0" t="inlineStr">
        <is>
          <t>BALCNP50</t>
        </is>
      </c>
      <c r="F37" s="0" t="inlineStr">
        <is>
          <t>Retail</t>
        </is>
      </c>
      <c r="G37" s="0" t="inlineStr">
        <is>
          <t>IDONG</t>
        </is>
      </c>
      <c r="H37" s="0" t="inlineStr">
        <is>
          <t>巴黎世家贸易（上海）有限公司浦东第一分公司</t>
        </is>
      </c>
      <c r="I37" s="0" t="inlineStr">
        <is>
          <t>82152</t>
        </is>
      </c>
    </row>
    <row r="38" hidden="1" s="94">
      <c r="A38" s="0" t="inlineStr">
        <is>
          <t>3006181104</t>
        </is>
      </c>
      <c r="B38" s="0" t="inlineStr">
        <is>
          <t>CN-BA-SHA-SHGLF</t>
        </is>
      </c>
      <c r="C38" s="0" t="inlineStr">
        <is>
          <t>CC1200</t>
        </is>
      </c>
      <c r="D38" s="0" t="inlineStr">
        <is>
          <t>Store Exp</t>
        </is>
      </c>
      <c r="E38" s="0" t="inlineStr">
        <is>
          <t>BALCNP55</t>
        </is>
      </c>
      <c r="F38" s="0" t="inlineStr">
        <is>
          <t>Retail</t>
        </is>
      </c>
      <c r="G38" s="0" t="inlineStr">
        <is>
          <t>IDONG</t>
        </is>
      </c>
      <c r="H38" s="0" t="inlineStr">
        <is>
          <t>#</t>
        </is>
      </c>
      <c r="I38" s="0" t="inlineStr">
        <is>
          <t>82154</t>
        </is>
      </c>
    </row>
    <row r="39" hidden="1" s="94">
      <c r="A39" s="0" t="inlineStr">
        <is>
          <t>3006181108</t>
        </is>
      </c>
      <c r="B39" s="0" t="inlineStr">
        <is>
          <t>CN-BA-SZX-SZBAYMIXC</t>
        </is>
      </c>
      <c r="C39" s="0" t="inlineStr">
        <is>
          <t>CC1200</t>
        </is>
      </c>
      <c r="D39" s="0" t="inlineStr">
        <is>
          <t>Store Exp</t>
        </is>
      </c>
      <c r="E39" s="0" t="inlineStr">
        <is>
          <t>BALCNP21</t>
        </is>
      </c>
      <c r="F39" s="0" t="inlineStr">
        <is>
          <t>Retail</t>
        </is>
      </c>
      <c r="G39" s="0" t="inlineStr">
        <is>
          <t>IDONG</t>
        </is>
      </c>
      <c r="H39" s="0" t="inlineStr">
        <is>
          <t>巴黎世家贸易（上海）有限公司深圳第二分公司</t>
        </is>
      </c>
      <c r="I39" s="0" t="inlineStr">
        <is>
          <t>82153</t>
        </is>
      </c>
    </row>
    <row r="40" hidden="1" s="94">
      <c r="A40" s="0" t="inlineStr">
        <is>
          <t>3006181114</t>
        </is>
      </c>
      <c r="B40" s="0" t="inlineStr">
        <is>
          <t>CN-BA-WUH-WHHL66</t>
        </is>
      </c>
      <c r="C40" s="0" t="inlineStr">
        <is>
          <t>CC1200</t>
        </is>
      </c>
      <c r="D40" s="0" t="inlineStr">
        <is>
          <t>Store Exp</t>
        </is>
      </c>
      <c r="E40" s="0" t="inlineStr">
        <is>
          <t>BALCNP44</t>
        </is>
      </c>
      <c r="F40" s="0" t="inlineStr">
        <is>
          <t>Retail</t>
        </is>
      </c>
      <c r="G40" s="0" t="inlineStr">
        <is>
          <t>IDONG</t>
        </is>
      </c>
      <c r="H40" s="0" t="inlineStr">
        <is>
          <t>巴黎世家贸易（上海）有限公司武汉第一分公司</t>
        </is>
      </c>
      <c r="I40" s="0" t="inlineStr">
        <is>
          <t>82159</t>
        </is>
      </c>
    </row>
    <row r="41" hidden="1" s="94">
      <c r="A41" s="0" t="inlineStr">
        <is>
          <t>3006181118</t>
        </is>
      </c>
      <c r="B41" s="0" t="inlineStr">
        <is>
          <t>CN-BA-SHA-SHIAPM</t>
        </is>
      </c>
      <c r="C41" s="0" t="inlineStr">
        <is>
          <t>CC1200</t>
        </is>
      </c>
      <c r="D41" s="0" t="inlineStr">
        <is>
          <t>Store Exp</t>
        </is>
      </c>
      <c r="E41" s="0" t="inlineStr">
        <is>
          <t>BALCNP46</t>
        </is>
      </c>
      <c r="F41" s="0" t="inlineStr">
        <is>
          <t>Retail</t>
        </is>
      </c>
      <c r="G41" s="0" t="inlineStr">
        <is>
          <t>IDONG</t>
        </is>
      </c>
      <c r="H41" s="0" t="inlineStr">
        <is>
          <t>巴黎世家贸易（上海）有限公司徐汇第一分公司</t>
        </is>
      </c>
      <c r="I41" s="0" t="inlineStr">
        <is>
          <t>#</t>
        </is>
      </c>
    </row>
    <row r="42" hidden="1" s="94">
      <c r="A42" s="0" t="inlineStr">
        <is>
          <t>3006181122</t>
        </is>
      </c>
      <c r="B42" s="0" t="inlineStr">
        <is>
          <t>CN-BA-SHA-SHTKL</t>
        </is>
      </c>
      <c r="C42" s="0" t="inlineStr">
        <is>
          <t>CC1200</t>
        </is>
      </c>
      <c r="D42" s="0" t="inlineStr">
        <is>
          <t>Store Exp</t>
        </is>
      </c>
      <c r="E42" s="0" t="inlineStr">
        <is>
          <t>BALCNP53</t>
        </is>
      </c>
      <c r="F42" s="0" t="inlineStr">
        <is>
          <t>Retail</t>
        </is>
      </c>
      <c r="G42" s="0" t="inlineStr">
        <is>
          <t>IDONG</t>
        </is>
      </c>
      <c r="H42" s="0" t="inlineStr">
        <is>
          <t>巴黎世家贸易（上海）有限公司浦东第二分公司</t>
        </is>
      </c>
      <c r="I42" s="0" t="inlineStr">
        <is>
          <t>82167</t>
        </is>
      </c>
    </row>
    <row r="43" hidden="1" s="94">
      <c r="A43" s="0" t="inlineStr">
        <is>
          <t>3006181124</t>
        </is>
      </c>
      <c r="B43" s="0" t="inlineStr">
        <is>
          <t>CN-BA-SHA-SHVO</t>
        </is>
      </c>
      <c r="C43" s="0" t="inlineStr">
        <is>
          <t>CC1200</t>
        </is>
      </c>
      <c r="D43" s="0" t="inlineStr">
        <is>
          <t>Store Exp</t>
        </is>
      </c>
      <c r="E43" s="0" t="inlineStr">
        <is>
          <t>BALCNP48</t>
        </is>
      </c>
      <c r="F43" s="0" t="inlineStr">
        <is>
          <t>Retail</t>
        </is>
      </c>
      <c r="G43" s="0" t="inlineStr">
        <is>
          <t>IDONG</t>
        </is>
      </c>
      <c r="H43" s="0" t="inlineStr">
        <is>
          <t>巴黎世家贸易（上海）有限公司浦东第三分公司</t>
        </is>
      </c>
      <c r="I43" s="0" t="inlineStr">
        <is>
          <t>82163</t>
        </is>
      </c>
    </row>
    <row r="44" hidden="1" s="94">
      <c r="A44" s="0" t="inlineStr">
        <is>
          <t>3006181126</t>
        </is>
      </c>
      <c r="B44" s="0" t="inlineStr">
        <is>
          <t>CN-BA-SZX-SZAP</t>
        </is>
      </c>
      <c r="C44" s="0" t="inlineStr">
        <is>
          <t>CC1200</t>
        </is>
      </c>
      <c r="D44" s="0" t="inlineStr">
        <is>
          <t>Store Exp</t>
        </is>
      </c>
      <c r="E44" s="0" t="inlineStr">
        <is>
          <t>BALCNP58</t>
        </is>
      </c>
      <c r="F44" s="0" t="inlineStr">
        <is>
          <t>Retail</t>
        </is>
      </c>
      <c r="G44" s="0" t="inlineStr">
        <is>
          <t>IDONG</t>
        </is>
      </c>
      <c r="H44" s="0" t="inlineStr">
        <is>
          <t>巴黎世家贸易（上海）有限公司深圳第三分公司</t>
        </is>
      </c>
      <c r="I44" s="0" t="inlineStr">
        <is>
          <t>82170</t>
        </is>
      </c>
    </row>
    <row r="45" hidden="1" s="94">
      <c r="A45" s="0" t="inlineStr">
        <is>
          <t>3006181130</t>
        </is>
      </c>
      <c r="B45" s="0" t="inlineStr">
        <is>
          <t>CN-BA-PEK-BJSLTHACKE</t>
        </is>
      </c>
      <c r="C45" s="0" t="inlineStr">
        <is>
          <t>CC1200</t>
        </is>
      </c>
      <c r="D45" s="0" t="inlineStr">
        <is>
          <t>Store Exp</t>
        </is>
      </c>
      <c r="E45" s="0" t="inlineStr">
        <is>
          <t>BALHACK06</t>
        </is>
      </c>
      <c r="F45" s="0" t="inlineStr">
        <is>
          <t>Retail</t>
        </is>
      </c>
      <c r="G45" s="0" t="inlineStr">
        <is>
          <t>IDONG</t>
        </is>
      </c>
      <c r="H45" s="0" t="inlineStr">
        <is>
          <t>#</t>
        </is>
      </c>
      <c r="I45" s="0" t="inlineStr">
        <is>
          <t>82171</t>
        </is>
      </c>
    </row>
    <row r="46" hidden="1" s="94">
      <c r="A46" s="0" t="inlineStr">
        <is>
          <t>3006181132</t>
        </is>
      </c>
      <c r="B46" s="0" t="inlineStr">
        <is>
          <t>CN-BA-PEK-BJBDL</t>
        </is>
      </c>
      <c r="C46" s="0" t="inlineStr">
        <is>
          <t>CC1200</t>
        </is>
      </c>
      <c r="D46" s="0" t="inlineStr">
        <is>
          <t>Store Exp</t>
        </is>
      </c>
      <c r="E46" s="0" t="inlineStr">
        <is>
          <t>BALCNP64</t>
        </is>
      </c>
      <c r="F46" s="0" t="inlineStr">
        <is>
          <t>Retail</t>
        </is>
      </c>
      <c r="G46" s="0" t="inlineStr">
        <is>
          <t>IDONG</t>
        </is>
      </c>
      <c r="H46" s="0" t="inlineStr">
        <is>
          <t>#</t>
        </is>
      </c>
      <c r="I46" s="0" t="inlineStr">
        <is>
          <t>82179</t>
        </is>
      </c>
    </row>
    <row r="47" hidden="1" s="94">
      <c r="A47" s="0" t="inlineStr">
        <is>
          <t>3006181134</t>
        </is>
      </c>
      <c r="B47" s="0" t="inlineStr">
        <is>
          <t>CN-BA-CHS-CSIFSHACKE</t>
        </is>
      </c>
      <c r="C47" s="0" t="inlineStr">
        <is>
          <t>CC1200</t>
        </is>
      </c>
      <c r="D47" s="0" t="inlineStr">
        <is>
          <t>Store Exp</t>
        </is>
      </c>
      <c r="E47" s="0" t="inlineStr">
        <is>
          <t>BALHACK06</t>
        </is>
      </c>
      <c r="F47" s="0" t="inlineStr">
        <is>
          <t>Retail</t>
        </is>
      </c>
      <c r="G47" s="0" t="inlineStr">
        <is>
          <t>IDONG</t>
        </is>
      </c>
      <c r="H47" s="0" t="inlineStr">
        <is>
          <t>#</t>
        </is>
      </c>
      <c r="I47" s="0" t="inlineStr">
        <is>
          <t>82172</t>
        </is>
      </c>
    </row>
    <row r="48" hidden="1" s="94">
      <c r="A48" s="0" t="inlineStr">
        <is>
          <t>3006181144</t>
        </is>
      </c>
      <c r="B48" s="0" t="inlineStr">
        <is>
          <t>CN-BA-CHE-CDTKL</t>
        </is>
      </c>
      <c r="C48" s="0" t="inlineStr">
        <is>
          <t>CC1200</t>
        </is>
      </c>
      <c r="D48" s="0" t="inlineStr">
        <is>
          <t>Store Exp</t>
        </is>
      </c>
      <c r="E48" s="0" t="inlineStr">
        <is>
          <t>BALCNP62</t>
        </is>
      </c>
      <c r="F48" s="0" t="inlineStr">
        <is>
          <t>Retail</t>
        </is>
      </c>
      <c r="G48" s="0" t="inlineStr">
        <is>
          <t>IDONG</t>
        </is>
      </c>
      <c r="H48" s="0" t="inlineStr">
        <is>
          <t>巴黎世家贸易(上海)有限公司成都第三分公司</t>
        </is>
      </c>
      <c r="I48" s="0" t="inlineStr">
        <is>
          <t>82212</t>
        </is>
      </c>
    </row>
    <row r="49" hidden="1" s="94">
      <c r="A49" s="0" t="inlineStr">
        <is>
          <t>3006181146</t>
        </is>
      </c>
      <c r="B49" s="0" t="inlineStr">
        <is>
          <t>CN-BA-CHC-CCCH</t>
        </is>
      </c>
      <c r="C49" s="0" t="inlineStr">
        <is>
          <t>CC1200</t>
        </is>
      </c>
      <c r="D49" s="0" t="inlineStr">
        <is>
          <t>Store Exp</t>
        </is>
      </c>
      <c r="E49" s="0" t="inlineStr">
        <is>
          <t>BALCNP59</t>
        </is>
      </c>
      <c r="F49" s="0" t="inlineStr">
        <is>
          <t>Retail</t>
        </is>
      </c>
      <c r="G49" s="0" t="inlineStr">
        <is>
          <t>IDONG</t>
        </is>
      </c>
      <c r="H49" s="0" t="inlineStr">
        <is>
          <t>巴黎世家贸易（上海）有限公司长春第一分公司</t>
        </is>
      </c>
      <c r="I49" s="0" t="inlineStr">
        <is>
          <t>82183</t>
        </is>
      </c>
    </row>
    <row r="50" hidden="1" s="94">
      <c r="A50" s="0" t="inlineStr">
        <is>
          <t>3006181150</t>
        </is>
      </c>
      <c r="B50" s="0" t="inlineStr">
        <is>
          <t>CN-BA-WUX-WXC66</t>
        </is>
      </c>
      <c r="C50" s="0" t="inlineStr">
        <is>
          <t>CC1200</t>
        </is>
      </c>
      <c r="D50" s="0" t="inlineStr">
        <is>
          <t>Store Exp</t>
        </is>
      </c>
      <c r="E50" s="0" t="inlineStr">
        <is>
          <t>BALCNP71</t>
        </is>
      </c>
      <c r="F50" s="0" t="inlineStr">
        <is>
          <t>Retail</t>
        </is>
      </c>
      <c r="G50" s="0" t="inlineStr">
        <is>
          <t>IDONG</t>
        </is>
      </c>
      <c r="H50" s="0" t="inlineStr">
        <is>
          <t>巴黎世家贸易（上海）有限公司无锡第一分公司</t>
        </is>
      </c>
      <c r="I50" s="0" t="inlineStr">
        <is>
          <t>82187</t>
        </is>
      </c>
    </row>
    <row r="51" hidden="1" s="94">
      <c r="A51" s="0" t="inlineStr">
        <is>
          <t>3006181152</t>
        </is>
      </c>
      <c r="B51" s="0" t="inlineStr">
        <is>
          <t>CN-BA-GUY-GYNL</t>
        </is>
      </c>
      <c r="C51" s="0" t="inlineStr">
        <is>
          <t>CC1200</t>
        </is>
      </c>
      <c r="D51" s="0" t="inlineStr">
        <is>
          <t>Store Exp</t>
        </is>
      </c>
      <c r="E51" s="0" t="inlineStr">
        <is>
          <t>BALCNP61</t>
        </is>
      </c>
      <c r="F51" s="0" t="inlineStr">
        <is>
          <t>Retail</t>
        </is>
      </c>
      <c r="G51" s="0" t="inlineStr">
        <is>
          <t>IDONG</t>
        </is>
      </c>
      <c r="H51" s="0" t="inlineStr">
        <is>
          <t>巴黎世家贸易（上海）有限公司贵阳第一分公司</t>
        </is>
      </c>
      <c r="I51" s="0" t="inlineStr">
        <is>
          <t>82210</t>
        </is>
      </c>
    </row>
    <row r="52" hidden="1" s="94">
      <c r="A52" s="0" t="inlineStr">
        <is>
          <t>3006181154</t>
        </is>
      </c>
      <c r="B52" s="0" t="inlineStr">
        <is>
          <t>CN-BA-SHY-SYCH</t>
        </is>
      </c>
      <c r="C52" s="0" t="inlineStr">
        <is>
          <t>CC1200</t>
        </is>
      </c>
      <c r="D52" s="0" t="inlineStr">
        <is>
          <t>Store Exp</t>
        </is>
      </c>
      <c r="E52" s="0" t="inlineStr">
        <is>
          <t>BALCNP67</t>
        </is>
      </c>
      <c r="F52" s="0" t="inlineStr">
        <is>
          <t>Retail</t>
        </is>
      </c>
      <c r="G52" s="0" t="inlineStr">
        <is>
          <t>IDONG</t>
        </is>
      </c>
      <c r="H52" s="0" t="inlineStr">
        <is>
          <t>巴黎世家贸易（上海）有限公司沈阳第二分公司</t>
        </is>
      </c>
      <c r="I52" s="0" t="inlineStr">
        <is>
          <t>82211</t>
        </is>
      </c>
    </row>
    <row r="53" hidden="1" s="94">
      <c r="A53" s="0" t="inlineStr">
        <is>
          <t>3006181160</t>
        </is>
      </c>
      <c r="B53" s="0" t="inlineStr">
        <is>
          <t>CN-BA-SZX-SZCT</t>
        </is>
      </c>
      <c r="C53" s="0" t="inlineStr">
        <is>
          <t>CC1200</t>
        </is>
      </c>
      <c r="D53" s="0" t="inlineStr">
        <is>
          <t>Store Exp</t>
        </is>
      </c>
      <c r="E53" s="0" t="inlineStr">
        <is>
          <t>BALCNP75</t>
        </is>
      </c>
      <c r="F53" s="0" t="inlineStr">
        <is>
          <t>Retail</t>
        </is>
      </c>
      <c r="G53" s="0" t="inlineStr">
        <is>
          <t>IDONG</t>
        </is>
      </c>
      <c r="H53" s="0" t="inlineStr">
        <is>
          <t>#</t>
        </is>
      </c>
      <c r="I53" s="0" t="inlineStr">
        <is>
          <t>#</t>
        </is>
      </c>
    </row>
    <row r="54" hidden="1" s="94">
      <c r="A54" s="0" t="inlineStr">
        <is>
          <t>3006181162</t>
        </is>
      </c>
      <c r="B54" s="0" t="inlineStr">
        <is>
          <t>CN-BA-CAN-GZTKH</t>
        </is>
      </c>
      <c r="C54" s="0" t="inlineStr">
        <is>
          <t>CC1200</t>
        </is>
      </c>
      <c r="D54" s="0" t="inlineStr">
        <is>
          <t>Store Exp</t>
        </is>
      </c>
      <c r="E54" s="0" t="inlineStr">
        <is>
          <t>BALCNP33</t>
        </is>
      </c>
      <c r="F54" s="0" t="inlineStr">
        <is>
          <t>Retail</t>
        </is>
      </c>
      <c r="G54" s="0" t="inlineStr">
        <is>
          <t>IDONG</t>
        </is>
      </c>
      <c r="H54" s="0" t="inlineStr">
        <is>
          <t>巴黎世家贸易（上海）有限公司广州第一分公司</t>
        </is>
      </c>
      <c r="I54" s="0" t="inlineStr">
        <is>
          <t>82213</t>
        </is>
      </c>
    </row>
    <row r="55" hidden="1" s="94">
      <c r="A55" s="0" t="inlineStr">
        <is>
          <t>3006181164</t>
        </is>
      </c>
      <c r="B55" s="0" t="inlineStr">
        <is>
          <t>CN-BA-CHE-CDSKP W</t>
        </is>
      </c>
      <c r="C55" s="0" t="inlineStr">
        <is>
          <t>CC1200</t>
        </is>
      </c>
      <c r="D55" s="0" t="inlineStr">
        <is>
          <t>Store Exp</t>
        </is>
      </c>
      <c r="E55" s="0" t="inlineStr">
        <is>
          <t>BALCNP66</t>
        </is>
      </c>
      <c r="F55" s="0" t="inlineStr">
        <is>
          <t>Retail</t>
        </is>
      </c>
      <c r="G55" s="0" t="inlineStr">
        <is>
          <t>IDONG</t>
        </is>
      </c>
      <c r="H55" s="0" t="inlineStr">
        <is>
          <t>#</t>
        </is>
      </c>
      <c r="I55" s="0" t="inlineStr">
        <is>
          <t>82214</t>
        </is>
      </c>
    </row>
    <row r="56" hidden="1" s="94">
      <c r="A56" s="0" t="inlineStr">
        <is>
          <t>3006181166</t>
        </is>
      </c>
      <c r="B56" s="0" t="inlineStr">
        <is>
          <t>CN-BA-CHE-CDSKP M</t>
        </is>
      </c>
      <c r="C56" s="0" t="inlineStr">
        <is>
          <t>CC1200</t>
        </is>
      </c>
      <c r="D56" s="0" t="inlineStr">
        <is>
          <t>Store Exp</t>
        </is>
      </c>
      <c r="E56" s="0" t="inlineStr">
        <is>
          <t>BALCNP73</t>
        </is>
      </c>
      <c r="F56" s="0" t="inlineStr">
        <is>
          <t>Retail</t>
        </is>
      </c>
      <c r="G56" s="0" t="inlineStr">
        <is>
          <t>IDONG</t>
        </is>
      </c>
      <c r="H56" s="0" t="inlineStr">
        <is>
          <t>#</t>
        </is>
      </c>
      <c r="I56" s="0" t="inlineStr">
        <is>
          <t>82215</t>
        </is>
      </c>
    </row>
    <row r="57" hidden="1" s="94">
      <c r="A57" s="0" t="inlineStr">
        <is>
          <t>3006181168</t>
        </is>
      </c>
      <c r="B57" s="0" t="inlineStr">
        <is>
          <t>CN-BA-JIN-JNMIXC</t>
        </is>
      </c>
      <c r="C57" s="0" t="inlineStr">
        <is>
          <t>CC1200</t>
        </is>
      </c>
      <c r="D57" s="0" t="inlineStr">
        <is>
          <t>Store Exp</t>
        </is>
      </c>
      <c r="E57" s="0" t="inlineStr">
        <is>
          <t>BALCNP60</t>
        </is>
      </c>
      <c r="F57" s="0" t="inlineStr">
        <is>
          <t>Retail</t>
        </is>
      </c>
      <c r="G57" s="0" t="inlineStr">
        <is>
          <t>IDONG</t>
        </is>
      </c>
      <c r="H57" s="0" t="inlineStr">
        <is>
          <t>巴黎世家贸易（上海）有限公司济南第一分公司</t>
        </is>
      </c>
      <c r="I57" s="0" t="inlineStr">
        <is>
          <t>82220</t>
        </is>
      </c>
    </row>
    <row r="58" hidden="1" s="94">
      <c r="A58" s="0" t="inlineStr">
        <is>
          <t>3006181170</t>
        </is>
      </c>
      <c r="B58" s="0" t="inlineStr">
        <is>
          <t>CN-BA-CHZ-CZSC</t>
        </is>
      </c>
      <c r="C58" s="0" t="inlineStr">
        <is>
          <t>CC1200</t>
        </is>
      </c>
      <c r="D58" s="0" t="inlineStr">
        <is>
          <t>Store Exp</t>
        </is>
      </c>
      <c r="E58" s="0" t="inlineStr">
        <is>
          <t>BALCNP72</t>
        </is>
      </c>
      <c r="F58" s="0" t="inlineStr">
        <is>
          <t>Retail</t>
        </is>
      </c>
      <c r="G58" s="0" t="inlineStr">
        <is>
          <t>IDONG</t>
        </is>
      </c>
      <c r="H58" s="0" t="inlineStr">
        <is>
          <t>#</t>
        </is>
      </c>
      <c r="I58" s="0" t="inlineStr">
        <is>
          <t>82202</t>
        </is>
      </c>
    </row>
    <row r="59" hidden="1" s="94">
      <c r="A59" s="0" t="inlineStr">
        <is>
          <t>3006181172</t>
        </is>
      </c>
      <c r="B59" s="0" t="inlineStr">
        <is>
          <t>CN-BA-WUH-WHHL66 L2</t>
        </is>
      </c>
      <c r="C59" s="0" t="inlineStr">
        <is>
          <t>CC1200</t>
        </is>
      </c>
      <c r="D59" s="0" t="inlineStr">
        <is>
          <t>Store Exp</t>
        </is>
      </c>
      <c r="E59" s="0" t="inlineStr">
        <is>
          <t>BALCNP82</t>
        </is>
      </c>
      <c r="F59" s="0" t="inlineStr">
        <is>
          <t>Retail</t>
        </is>
      </c>
      <c r="G59" s="0" t="inlineStr">
        <is>
          <t>IDONG</t>
        </is>
      </c>
      <c r="H59" s="0" t="inlineStr">
        <is>
          <t>巴黎世家贸易（上海）有限公司武汉第一分公司</t>
        </is>
      </c>
      <c r="I59" s="0" t="inlineStr">
        <is>
          <t>82221</t>
        </is>
      </c>
    </row>
    <row r="60" hidden="1" s="94">
      <c r="A60" s="0" t="inlineStr">
        <is>
          <t>3006181174</t>
        </is>
      </c>
      <c r="B60" s="0" t="inlineStr">
        <is>
          <t>CN-BA-WUH-WHMIXC</t>
        </is>
      </c>
      <c r="C60" s="0" t="inlineStr">
        <is>
          <t>CC1200</t>
        </is>
      </c>
      <c r="D60" s="0" t="inlineStr">
        <is>
          <t>Store Exp</t>
        </is>
      </c>
      <c r="E60" s="0" t="inlineStr">
        <is>
          <t>BALCNP80</t>
        </is>
      </c>
      <c r="F60" s="0" t="inlineStr">
        <is>
          <t>Retail</t>
        </is>
      </c>
      <c r="G60" s="0" t="inlineStr">
        <is>
          <t>IDONG</t>
        </is>
      </c>
      <c r="H60" s="0" t="inlineStr">
        <is>
          <t>#</t>
        </is>
      </c>
      <c r="I60" s="0" t="inlineStr">
        <is>
          <t>82227</t>
        </is>
      </c>
    </row>
    <row r="61" hidden="1" s="94">
      <c r="A61" s="0" t="inlineStr">
        <is>
          <t>3006181176</t>
        </is>
      </c>
      <c r="B61" s="0" t="inlineStr">
        <is>
          <t>CN-BA-SHA-SHTKH</t>
        </is>
      </c>
      <c r="C61" s="0" t="inlineStr">
        <is>
          <t>CC1200</t>
        </is>
      </c>
      <c r="D61" s="0" t="inlineStr">
        <is>
          <t>Store Exp</t>
        </is>
      </c>
      <c r="E61" s="0" t="inlineStr">
        <is>
          <t>BALCNP74</t>
        </is>
      </c>
      <c r="F61" s="0" t="inlineStr">
        <is>
          <t>Retail</t>
        </is>
      </c>
      <c r="G61" s="0" t="inlineStr">
        <is>
          <t>IDONG</t>
        </is>
      </c>
      <c r="H61" s="0" t="inlineStr">
        <is>
          <t>巴黎世家贸易（上海）有限公司静安第二分公司</t>
        </is>
      </c>
      <c r="I61" s="0" t="inlineStr">
        <is>
          <t>82226</t>
        </is>
      </c>
    </row>
    <row r="62" hidden="1" s="94">
      <c r="A62" s="0" t="inlineStr">
        <is>
          <t>3006181178</t>
        </is>
      </c>
      <c r="B62" s="0" t="inlineStr">
        <is>
          <t>CN-BA-NAJ-NJIFC</t>
        </is>
      </c>
      <c r="C62" s="0" t="inlineStr">
        <is>
          <t>CC1200</t>
        </is>
      </c>
      <c r="D62" s="0" t="inlineStr">
        <is>
          <t>Store Exp</t>
        </is>
      </c>
      <c r="E62" s="0" t="inlineStr">
        <is>
          <t>BALCNP84</t>
        </is>
      </c>
      <c r="F62" s="0" t="inlineStr">
        <is>
          <t>Retail</t>
        </is>
      </c>
      <c r="G62" s="0" t="inlineStr">
        <is>
          <t>IDONG</t>
        </is>
      </c>
      <c r="H62" s="0" t="inlineStr">
        <is>
          <t>巴黎世家贸易（上海）有限公司南京第一分公司</t>
        </is>
      </c>
      <c r="I62" s="0" t="inlineStr">
        <is>
          <t>82225</t>
        </is>
      </c>
    </row>
    <row r="63" hidden="1" s="94">
      <c r="A63" s="0" t="inlineStr">
        <is>
          <t>3006181180</t>
        </is>
      </c>
      <c r="B63" s="0" t="inlineStr">
        <is>
          <t>CN-BA-FUZ-FZMIXC</t>
        </is>
      </c>
      <c r="C63" s="0" t="inlineStr">
        <is>
          <t>CC1200</t>
        </is>
      </c>
      <c r="D63" s="0" t="inlineStr">
        <is>
          <t>Store Exp</t>
        </is>
      </c>
      <c r="E63" s="0" t="inlineStr">
        <is>
          <t>BALCNP83</t>
        </is>
      </c>
      <c r="F63" s="0" t="inlineStr">
        <is>
          <t>Retail</t>
        </is>
      </c>
      <c r="G63" s="0" t="inlineStr">
        <is>
          <t>IDONG</t>
        </is>
      </c>
      <c r="H63" s="0" t="inlineStr">
        <is>
          <t>巴黎世家贸易（上海）有限公司福州分公司</t>
        </is>
      </c>
      <c r="I63" s="0" t="inlineStr">
        <is>
          <t>82203</t>
        </is>
      </c>
    </row>
    <row r="64" hidden="1" s="94">
      <c r="A64" s="0" t="inlineStr">
        <is>
          <t>3006181182</t>
        </is>
      </c>
      <c r="B64" s="0" t="inlineStr">
        <is>
          <t>CN-BA-WUH-WHSKP</t>
        </is>
      </c>
      <c r="C64" s="0" t="inlineStr">
        <is>
          <t>CC1200</t>
        </is>
      </c>
      <c r="D64" s="0" t="inlineStr">
        <is>
          <t>Store Exp</t>
        </is>
      </c>
      <c r="E64" s="0" t="inlineStr">
        <is>
          <t>BALCNP86</t>
        </is>
      </c>
      <c r="F64" s="0" t="inlineStr">
        <is>
          <t>Retail</t>
        </is>
      </c>
      <c r="G64" s="0" t="inlineStr">
        <is>
          <t>IDONG</t>
        </is>
      </c>
      <c r="H64" s="0" t="inlineStr">
        <is>
          <t>#</t>
        </is>
      </c>
      <c r="I64" s="0" t="inlineStr">
        <is>
          <t>82229</t>
        </is>
      </c>
    </row>
    <row r="65" hidden="1" s="94">
      <c r="A65" s="0" t="inlineStr">
        <is>
          <t>3006181184</t>
        </is>
      </c>
      <c r="B65" s="0" t="inlineStr">
        <is>
          <t>CN-BA-CAN-GZK11</t>
        </is>
      </c>
      <c r="C65" s="0" t="inlineStr">
        <is>
          <t>CC1200</t>
        </is>
      </c>
      <c r="D65" s="0" t="inlineStr">
        <is>
          <t>Store Exp</t>
        </is>
      </c>
      <c r="E65" s="0" t="inlineStr">
        <is>
          <t>BALCNP95</t>
        </is>
      </c>
      <c r="F65" s="0" t="inlineStr">
        <is>
          <t>Retail</t>
        </is>
      </c>
      <c r="G65" s="0" t="inlineStr">
        <is>
          <t>IDONG</t>
        </is>
      </c>
      <c r="H65" s="0" t="inlineStr">
        <is>
          <t>巴黎世家贸易（上海）有限公司广州第二分公司</t>
        </is>
      </c>
      <c r="I65" s="0" t="inlineStr">
        <is>
          <t>#</t>
        </is>
      </c>
    </row>
    <row r="66" hidden="1" s="94">
      <c r="A66" s="0" t="inlineStr">
        <is>
          <t>3006181186</t>
        </is>
      </c>
      <c r="B66" s="0" t="inlineStr">
        <is>
          <t>CN-BA-WUH-WHSKP TEMP</t>
        </is>
      </c>
      <c r="C66" s="0" t="inlineStr">
        <is>
          <t>CC1200</t>
        </is>
      </c>
      <c r="D66" s="0" t="inlineStr">
        <is>
          <t>Store Exp</t>
        </is>
      </c>
      <c r="E66" s="0" t="inlineStr">
        <is>
          <t>BALCNP94</t>
        </is>
      </c>
      <c r="F66" s="0" t="inlineStr">
        <is>
          <t>Retail</t>
        </is>
      </c>
      <c r="G66" s="0" t="inlineStr">
        <is>
          <t>IDONG</t>
        </is>
      </c>
      <c r="H66" s="0" t="inlineStr">
        <is>
          <t>#</t>
        </is>
      </c>
      <c r="I66" s="0" t="inlineStr">
        <is>
          <t>82223</t>
        </is>
      </c>
    </row>
    <row r="67" hidden="1" s="94">
      <c r="A67" s="0" t="inlineStr">
        <is>
          <t>3006181188</t>
        </is>
      </c>
      <c r="B67" s="0" t="inlineStr">
        <is>
          <t>CN-BA-URU-UQMM</t>
        </is>
      </c>
      <c r="C67" s="0" t="inlineStr">
        <is>
          <t>CC1200</t>
        </is>
      </c>
      <c r="D67" s="0" t="inlineStr">
        <is>
          <t>Store Exp</t>
        </is>
      </c>
      <c r="E67" s="0" t="inlineStr">
        <is>
          <t>BALCNP85</t>
        </is>
      </c>
      <c r="F67" s="0" t="inlineStr">
        <is>
          <t>Retail</t>
        </is>
      </c>
      <c r="G67" s="0" t="inlineStr">
        <is>
          <t>IDONG</t>
        </is>
      </c>
      <c r="H67" s="0" t="inlineStr">
        <is>
          <t>巴黎世家贸易（上海）有限公司乌鲁木齐第一分公司</t>
        </is>
      </c>
      <c r="I67" s="0" t="inlineStr">
        <is>
          <t>82224</t>
        </is>
      </c>
    </row>
    <row r="68" hidden="1" s="94">
      <c r="A68" s="0" t="inlineStr">
        <is>
          <t>3006181190</t>
        </is>
      </c>
      <c r="B68" s="0" t="inlineStr">
        <is>
          <t>CN-BA-SHY-SYMIXC</t>
        </is>
      </c>
      <c r="C68" s="0" t="inlineStr">
        <is>
          <t>CC1200</t>
        </is>
      </c>
      <c r="D68" s="0" t="inlineStr">
        <is>
          <t>Store Exp</t>
        </is>
      </c>
      <c r="E68" s="0" t="inlineStr">
        <is>
          <t>BALCNP96</t>
        </is>
      </c>
      <c r="F68" s="0" t="inlineStr">
        <is>
          <t>Retail</t>
        </is>
      </c>
      <c r="G68" s="0" t="inlineStr">
        <is>
          <t>IDONG</t>
        </is>
      </c>
      <c r="H68" s="0" t="inlineStr">
        <is>
          <t>巴黎世家贸易（上海）有限公司沈阳第三分公司</t>
        </is>
      </c>
      <c r="I68" s="0" t="inlineStr">
        <is>
          <t>#</t>
        </is>
      </c>
    </row>
    <row r="69" hidden="1" s="94">
      <c r="A69" s="0" t="inlineStr">
        <is>
          <t>3006181200</t>
        </is>
      </c>
      <c r="B69" s="0" t="inlineStr">
        <is>
          <t>CN-BA-SP</t>
        </is>
      </c>
      <c r="C69" s="0" t="inlineStr">
        <is>
          <t>CC1256</t>
        </is>
      </c>
      <c r="D69" s="0" t="inlineStr">
        <is>
          <t>G&amp;A_Store Planning</t>
        </is>
      </c>
      <c r="E69" s="0" t="inlineStr">
        <is>
          <t>#</t>
        </is>
      </c>
      <c r="F69" s="0" t="inlineStr">
        <is>
          <t>Retail</t>
        </is>
      </c>
      <c r="G69" s="0" t="inlineStr">
        <is>
          <t>SCAI9</t>
        </is>
      </c>
      <c r="H69" s="0" t="inlineStr">
        <is>
          <t>#</t>
        </is>
      </c>
      <c r="I69" s="0" t="inlineStr">
        <is>
          <t>#</t>
        </is>
      </c>
    </row>
    <row r="70" hidden="1" s="94">
      <c r="A70" s="0" t="inlineStr">
        <is>
          <t>3006181300</t>
        </is>
      </c>
      <c r="B70" s="0" t="inlineStr">
        <is>
          <t>CN-BA-SO</t>
        </is>
      </c>
      <c r="C70" s="0" t="inlineStr">
        <is>
          <t>CC1453</t>
        </is>
      </c>
      <c r="D70" s="0" t="inlineStr">
        <is>
          <t>Store Operations</t>
        </is>
      </c>
      <c r="E70" s="0" t="inlineStr">
        <is>
          <t>#</t>
        </is>
      </c>
      <c r="F70" s="0" t="inlineStr">
        <is>
          <t>Retail</t>
        </is>
      </c>
      <c r="G70" s="0" t="inlineStr">
        <is>
          <t>SSOONG1</t>
        </is>
      </c>
      <c r="H70" s="0" t="inlineStr">
        <is>
          <t>#</t>
        </is>
      </c>
      <c r="I70" s="0" t="inlineStr">
        <is>
          <t>#</t>
        </is>
      </c>
    </row>
    <row r="71" hidden="1" s="94">
      <c r="A71" s="0" t="inlineStr">
        <is>
          <t>3006183001</t>
        </is>
      </c>
      <c r="B71" s="0" t="inlineStr">
        <is>
          <t>CN-BA-CLIENT&amp;DIGITAL</t>
        </is>
      </c>
      <c r="C71" s="0" t="inlineStr">
        <is>
          <t>CC1297</t>
        </is>
      </c>
      <c r="D71" s="0" t="inlineStr">
        <is>
          <t>G&amp;A Ecommerce</t>
        </is>
      </c>
      <c r="E71" s="0" t="inlineStr">
        <is>
          <t>#</t>
        </is>
      </c>
      <c r="F71" s="0" t="inlineStr">
        <is>
          <t>e-Commerce</t>
        </is>
      </c>
      <c r="G71" s="0" t="inlineStr">
        <is>
          <t>CLIN24</t>
        </is>
      </c>
      <c r="H71" s="0" t="inlineStr">
        <is>
          <t>#</t>
        </is>
      </c>
      <c r="I71" s="0" t="inlineStr">
        <is>
          <t>#</t>
        </is>
      </c>
    </row>
    <row r="72" hidden="1" s="94">
      <c r="A72" s="0" t="inlineStr">
        <is>
          <t>3006183002</t>
        </is>
      </c>
      <c r="B72" s="0" t="inlineStr">
        <is>
          <t>CN-BA-ECOM OPERATION</t>
        </is>
      </c>
      <c r="C72" s="0" t="inlineStr">
        <is>
          <t>CC1452</t>
        </is>
      </c>
      <c r="D72" s="0" t="inlineStr">
        <is>
          <t>Ecommerce Operations</t>
        </is>
      </c>
      <c r="E72" s="0" t="inlineStr">
        <is>
          <t>#</t>
        </is>
      </c>
      <c r="F72" s="0" t="inlineStr">
        <is>
          <t>e-Commerce</t>
        </is>
      </c>
      <c r="G72" s="0" t="inlineStr">
        <is>
          <t>MLUO5</t>
        </is>
      </c>
      <c r="H72" s="0" t="inlineStr">
        <is>
          <t>#</t>
        </is>
      </c>
      <c r="I72" s="0" t="inlineStr">
        <is>
          <t>#</t>
        </is>
      </c>
    </row>
    <row r="73" hidden="1" s="94">
      <c r="A73" s="0" t="inlineStr">
        <is>
          <t>3006183003</t>
        </is>
      </c>
      <c r="B73" s="0" t="inlineStr">
        <is>
          <t>CN-BA-MIS ECOM</t>
        </is>
      </c>
      <c r="C73" s="0" t="inlineStr">
        <is>
          <t>CC1355</t>
        </is>
      </c>
      <c r="D73" s="0" t="inlineStr">
        <is>
          <t>M.I.S. Exp Ecommerce</t>
        </is>
      </c>
      <c r="E73" s="0" t="inlineStr">
        <is>
          <t>#</t>
        </is>
      </c>
      <c r="F73" s="0" t="inlineStr">
        <is>
          <t>e-Commerce</t>
        </is>
      </c>
      <c r="G73" s="0" t="inlineStr">
        <is>
          <t>CLIN24</t>
        </is>
      </c>
      <c r="H73" s="0" t="inlineStr">
        <is>
          <t>#</t>
        </is>
      </c>
      <c r="I73" s="0" t="inlineStr">
        <is>
          <t>#</t>
        </is>
      </c>
    </row>
    <row r="74" hidden="1" s="94">
      <c r="A74" s="0" t="inlineStr">
        <is>
          <t>3006183004</t>
        </is>
      </c>
      <c r="B74" s="0" t="inlineStr">
        <is>
          <t>CN-BA-G&amp;A ECOM</t>
        </is>
      </c>
      <c r="C74" s="0" t="inlineStr">
        <is>
          <t>CC1297</t>
        </is>
      </c>
      <c r="D74" s="0" t="inlineStr">
        <is>
          <t>G&amp;A Ecommerce</t>
        </is>
      </c>
      <c r="E74" s="0" t="inlineStr">
        <is>
          <t>#</t>
        </is>
      </c>
      <c r="F74" s="0" t="inlineStr">
        <is>
          <t>e-Commerce</t>
        </is>
      </c>
      <c r="G74" s="0" t="inlineStr">
        <is>
          <t>CLIN24</t>
        </is>
      </c>
      <c r="H74" s="0" t="inlineStr">
        <is>
          <t>#</t>
        </is>
      </c>
      <c r="I74" s="0" t="inlineStr">
        <is>
          <t>#</t>
        </is>
      </c>
    </row>
    <row r="75" hidden="1" s="94">
      <c r="A75" s="0" t="inlineStr">
        <is>
          <t>3006183010</t>
        </is>
      </c>
      <c r="B75" s="0" t="inlineStr">
        <is>
          <t>CN-BA-ECOM-BAL.CN</t>
        </is>
      </c>
      <c r="C75" s="0" t="inlineStr">
        <is>
          <t>CC1201</t>
        </is>
      </c>
      <c r="D75" s="0" t="inlineStr">
        <is>
          <t>Store E-Commerce</t>
        </is>
      </c>
      <c r="E75" s="0" t="inlineStr">
        <is>
          <t>BALCNP36</t>
        </is>
      </c>
      <c r="F75" s="0" t="inlineStr">
        <is>
          <t>e-Commerce</t>
        </is>
      </c>
      <c r="G75" s="0" t="inlineStr">
        <is>
          <t>MLUO5</t>
        </is>
      </c>
      <c r="H75" s="0" t="inlineStr">
        <is>
          <t>#</t>
        </is>
      </c>
      <c r="I75" s="0" t="inlineStr">
        <is>
          <t>82062</t>
        </is>
      </c>
    </row>
    <row r="76" hidden="1" s="94">
      <c r="A76" s="0" t="inlineStr">
        <is>
          <t>3006183011</t>
        </is>
      </c>
      <c r="B76" s="0" t="inlineStr">
        <is>
          <t>CN-BA-ECOM-TMALL</t>
        </is>
      </c>
      <c r="C76" s="0" t="inlineStr">
        <is>
          <t>CC1201</t>
        </is>
      </c>
      <c r="D76" s="0" t="inlineStr">
        <is>
          <t>Store E-Commerce</t>
        </is>
      </c>
      <c r="E76" s="0" t="inlineStr">
        <is>
          <t>BALTMA1</t>
        </is>
      </c>
      <c r="F76" s="0" t="inlineStr">
        <is>
          <t>e-Commerce</t>
        </is>
      </c>
      <c r="G76" s="0" t="inlineStr">
        <is>
          <t>MLUO5</t>
        </is>
      </c>
      <c r="H76" s="0" t="inlineStr">
        <is>
          <t>#</t>
        </is>
      </c>
      <c r="I76" s="0" t="inlineStr">
        <is>
          <t>82176</t>
        </is>
      </c>
    </row>
    <row r="77" hidden="1" s="94">
      <c r="A77" s="0" t="inlineStr">
        <is>
          <t>3006183013</t>
        </is>
      </c>
      <c r="B77" s="0" t="inlineStr">
        <is>
          <t>CN-BA-ECOM-ES</t>
        </is>
      </c>
      <c r="C77" s="0" t="inlineStr">
        <is>
          <t>CC1201</t>
        </is>
      </c>
      <c r="D77" s="0" t="inlineStr">
        <is>
          <t>Store E-Commerce</t>
        </is>
      </c>
      <c r="E77" s="0" t="inlineStr">
        <is>
          <t>BALCNP36</t>
        </is>
      </c>
      <c r="F77" s="0" t="inlineStr">
        <is>
          <t>e-Commerce</t>
        </is>
      </c>
      <c r="G77" s="0" t="inlineStr">
        <is>
          <t>MLUO5</t>
        </is>
      </c>
      <c r="H77" s="0" t="inlineStr">
        <is>
          <t>#</t>
        </is>
      </c>
      <c r="I77" s="0" t="inlineStr">
        <is>
          <t>82063</t>
        </is>
      </c>
    </row>
    <row r="78" hidden="1" s="94">
      <c r="A78" s="0" t="inlineStr">
        <is>
          <t>3006183014</t>
        </is>
      </c>
      <c r="B78" s="0" t="inlineStr">
        <is>
          <t>CN-BA-ECOM-JD</t>
        </is>
      </c>
      <c r="C78" s="0" t="inlineStr">
        <is>
          <t>CC1201</t>
        </is>
      </c>
      <c r="D78" s="0" t="inlineStr">
        <is>
          <t>Store E-Commerce</t>
        </is>
      </c>
      <c r="E78" s="0" t="inlineStr">
        <is>
          <t>BALJING</t>
        </is>
      </c>
      <c r="F78" s="0" t="inlineStr">
        <is>
          <t>e-Commerce</t>
        </is>
      </c>
      <c r="G78" s="0" t="inlineStr">
        <is>
          <t>MLUO5</t>
        </is>
      </c>
      <c r="H78" s="0" t="inlineStr">
        <is>
          <t>#</t>
        </is>
      </c>
      <c r="I78" s="0" t="inlineStr">
        <is>
          <t>82228</t>
        </is>
      </c>
    </row>
    <row r="79" hidden="1" s="94">
      <c r="A79" s="0" t="inlineStr">
        <is>
          <t>3006183015</t>
        </is>
      </c>
      <c r="B79" s="0" t="inlineStr">
        <is>
          <t>CN-BA-ECOM-WECHAT</t>
        </is>
      </c>
      <c r="C79" s="0" t="inlineStr">
        <is>
          <t>CC1201</t>
        </is>
      </c>
      <c r="D79" s="0" t="inlineStr">
        <is>
          <t>Store E-Commerce</t>
        </is>
      </c>
      <c r="E79" s="0" t="inlineStr">
        <is>
          <t>BALWES</t>
        </is>
      </c>
      <c r="F79" s="0" t="inlineStr">
        <is>
          <t>e-Commerce</t>
        </is>
      </c>
      <c r="G79" s="0" t="inlineStr">
        <is>
          <t>MLUO5</t>
        </is>
      </c>
      <c r="H79" s="0" t="inlineStr">
        <is>
          <t>#</t>
        </is>
      </c>
      <c r="I79" s="0" t="inlineStr">
        <is>
          <t>82135</t>
        </is>
      </c>
    </row>
    <row r="80" hidden="1" s="94">
      <c r="A80" s="0" t="inlineStr">
        <is>
          <t>3006185001</t>
        </is>
      </c>
      <c r="B80" s="0" t="inlineStr">
        <is>
          <t>CN-BA-PC</t>
        </is>
      </c>
      <c r="C80" s="0" t="inlineStr">
        <is>
          <t>CC1264</t>
        </is>
      </c>
      <c r="D80" s="0" t="inlineStr">
        <is>
          <t>G&amp;A_Operations</t>
        </is>
      </c>
      <c r="E80" s="0" t="inlineStr">
        <is>
          <t>#</t>
        </is>
      </c>
      <c r="F80" s="0" t="inlineStr">
        <is>
          <t>Production</t>
        </is>
      </c>
      <c r="G80" s="0" t="inlineStr">
        <is>
          <t>CLIN24</t>
        </is>
      </c>
      <c r="H80" s="0" t="inlineStr">
        <is>
          <t>#</t>
        </is>
      </c>
      <c r="I80" s="0" t="inlineStr">
        <is>
          <t>#</t>
        </is>
      </c>
    </row>
    <row r="81" hidden="1" s="94">
      <c r="A81" s="0" t="inlineStr">
        <is>
          <t>3006185002</t>
        </is>
      </c>
      <c r="B81" s="0" t="inlineStr">
        <is>
          <t>CN-BA-PRODUCT</t>
        </is>
      </c>
      <c r="C81" s="0" t="inlineStr">
        <is>
          <t>CC1100</t>
        </is>
      </c>
      <c r="D81" s="0" t="inlineStr">
        <is>
          <t>Production</t>
        </is>
      </c>
      <c r="E81" s="0" t="inlineStr">
        <is>
          <t>#</t>
        </is>
      </c>
      <c r="F81" s="0" t="inlineStr">
        <is>
          <t>Production</t>
        </is>
      </c>
      <c r="G81" s="0" t="inlineStr">
        <is>
          <t>MLAI7</t>
        </is>
      </c>
      <c r="H81" s="0" t="inlineStr">
        <is>
          <t>#</t>
        </is>
      </c>
      <c r="I81" s="0" t="inlineStr">
        <is>
          <t>#</t>
        </is>
      </c>
    </row>
    <row r="82" hidden="1" s="94">
      <c r="A82" s="0" t="inlineStr">
        <is>
          <t>3006185003</t>
        </is>
      </c>
      <c r="B82" s="0" t="inlineStr">
        <is>
          <t>CN-BA-G&amp;A OPERATIONS</t>
        </is>
      </c>
      <c r="C82" s="0" t="inlineStr">
        <is>
          <t>CC1264</t>
        </is>
      </c>
      <c r="D82" s="0" t="inlineStr">
        <is>
          <t>G&amp;A_Operations</t>
        </is>
      </c>
      <c r="E82" s="0" t="inlineStr">
        <is>
          <t>#</t>
        </is>
      </c>
      <c r="F82" s="0" t="inlineStr">
        <is>
          <t>Production</t>
        </is>
      </c>
      <c r="G82" s="0" t="inlineStr">
        <is>
          <t>CLIN24</t>
        </is>
      </c>
      <c r="H82" s="0" t="inlineStr">
        <is>
          <t>#</t>
        </is>
      </c>
      <c r="I82" s="0" t="inlineStr">
        <is>
          <t>#</t>
        </is>
      </c>
    </row>
    <row r="83" hidden="1" s="94">
      <c r="A83" s="0" t="inlineStr">
        <is>
          <t>3006186101</t>
        </is>
      </c>
      <c r="B83" s="0" t="inlineStr">
        <is>
          <t>CN-BA-AFTER SALES</t>
        </is>
      </c>
      <c r="C83" s="0" t="inlineStr">
        <is>
          <t>CC1454</t>
        </is>
      </c>
      <c r="D83" s="0" t="inlineStr">
        <is>
          <t>Aft Sales Svc-All Channel</t>
        </is>
      </c>
      <c r="E83" s="0" t="inlineStr">
        <is>
          <t>#</t>
        </is>
      </c>
      <c r="F83" s="0" t="inlineStr">
        <is>
          <t>Non Selling</t>
        </is>
      </c>
      <c r="G83" s="0" t="inlineStr">
        <is>
          <t>CLIN24</t>
        </is>
      </c>
      <c r="H83" s="0" t="inlineStr">
        <is>
          <t>#</t>
        </is>
      </c>
      <c r="I83" s="0" t="inlineStr">
        <is>
          <t>#</t>
        </is>
      </c>
    </row>
    <row r="84" hidden="1" s="94">
      <c r="A84" s="0" t="inlineStr">
        <is>
          <t>3006186102</t>
        </is>
      </c>
      <c r="B84" s="0" t="inlineStr">
        <is>
          <t>CN-BA-ADV</t>
        </is>
      </c>
      <c r="C84" s="0" t="inlineStr">
        <is>
          <t>CC1502</t>
        </is>
      </c>
      <c r="D84" s="0" t="inlineStr">
        <is>
          <t>Communication_AVD Exp</t>
        </is>
      </c>
      <c r="E84" s="0" t="inlineStr">
        <is>
          <t>#</t>
        </is>
      </c>
      <c r="F84" s="0" t="inlineStr">
        <is>
          <t>Non Selling</t>
        </is>
      </c>
      <c r="G84" s="0" t="inlineStr">
        <is>
          <t>ASUN7</t>
        </is>
      </c>
      <c r="H84" s="0" t="inlineStr">
        <is>
          <t>#</t>
        </is>
      </c>
      <c r="I84" s="0" t="inlineStr">
        <is>
          <t>#</t>
        </is>
      </c>
    </row>
    <row r="85" hidden="1" s="94">
      <c r="A85" s="0" t="inlineStr">
        <is>
          <t>3006186103</t>
        </is>
      </c>
      <c r="B85" s="0" t="inlineStr">
        <is>
          <t>CN-BA-VISUAL DISPLAY</t>
        </is>
      </c>
      <c r="C85" s="0" t="inlineStr">
        <is>
          <t>CC1501</t>
        </is>
      </c>
      <c r="D85" s="0" t="inlineStr">
        <is>
          <t>Communication_VD Exp</t>
        </is>
      </c>
      <c r="E85" s="0" t="inlineStr">
        <is>
          <t>#</t>
        </is>
      </c>
      <c r="F85" s="0" t="inlineStr">
        <is>
          <t>Non Selling</t>
        </is>
      </c>
      <c r="G85" s="0" t="inlineStr">
        <is>
          <t>ALAM19</t>
        </is>
      </c>
      <c r="H85" s="0" t="inlineStr">
        <is>
          <t>#</t>
        </is>
      </c>
      <c r="I85" s="0" t="inlineStr">
        <is>
          <t>#</t>
        </is>
      </c>
    </row>
    <row r="86" hidden="1" s="94">
      <c r="A86" s="0" t="inlineStr">
        <is>
          <t>3006186104</t>
        </is>
      </c>
      <c r="B86" s="0" t="inlineStr">
        <is>
          <t>CN-BA-PR</t>
        </is>
      </c>
      <c r="C86" s="0" t="inlineStr">
        <is>
          <t>CC1504</t>
        </is>
      </c>
      <c r="D86" s="0" t="inlineStr">
        <is>
          <t>Communication_PR</t>
        </is>
      </c>
      <c r="E86" s="0" t="inlineStr">
        <is>
          <t>#</t>
        </is>
      </c>
      <c r="F86" s="0" t="inlineStr">
        <is>
          <t>Non Selling</t>
        </is>
      </c>
      <c r="G86" s="0" t="inlineStr">
        <is>
          <t>ASUN7</t>
        </is>
      </c>
      <c r="H86" s="0" t="inlineStr">
        <is>
          <t>#</t>
        </is>
      </c>
      <c r="I86" s="0" t="inlineStr">
        <is>
          <t>#</t>
        </is>
      </c>
    </row>
    <row r="87" hidden="1" s="94">
      <c r="A87" s="0" t="inlineStr">
        <is>
          <t>3006186105</t>
        </is>
      </c>
      <c r="B87" s="0" t="inlineStr">
        <is>
          <t>CN-BA-CLIENT SERVICE</t>
        </is>
      </c>
      <c r="C87" s="0" t="inlineStr">
        <is>
          <t>CC1455</t>
        </is>
      </c>
      <c r="D87" s="0" t="inlineStr">
        <is>
          <t>Client Service</t>
        </is>
      </c>
      <c r="E87" s="0" t="inlineStr">
        <is>
          <t>#</t>
        </is>
      </c>
      <c r="F87" s="0" t="inlineStr">
        <is>
          <t>Non Selling</t>
        </is>
      </c>
      <c r="G87" s="0" t="inlineStr">
        <is>
          <t>MLUO5</t>
        </is>
      </c>
      <c r="H87" s="0" t="inlineStr">
        <is>
          <t>#</t>
        </is>
      </c>
      <c r="I87" s="0" t="inlineStr">
        <is>
          <t>#</t>
        </is>
      </c>
    </row>
    <row r="88" hidden="1" s="94">
      <c r="A88" s="0" t="inlineStr">
        <is>
          <t>3006186201</t>
        </is>
      </c>
      <c r="B88" s="0" t="inlineStr">
        <is>
          <t>CN-BA-WAREHOUSE</t>
        </is>
      </c>
      <c r="C88" s="0" t="inlineStr">
        <is>
          <t>CC1150</t>
        </is>
      </c>
      <c r="D88" s="0" t="inlineStr">
        <is>
          <t>Warehse Retail&amp;Wholesale</t>
        </is>
      </c>
      <c r="E88" s="0" t="inlineStr">
        <is>
          <t>#</t>
        </is>
      </c>
      <c r="F88" s="0" t="inlineStr">
        <is>
          <t>Non Selling</t>
        </is>
      </c>
      <c r="G88" s="0" t="inlineStr">
        <is>
          <t>CLIN24</t>
        </is>
      </c>
      <c r="H88" s="0" t="inlineStr">
        <is>
          <t>#</t>
        </is>
      </c>
      <c r="I88" s="0" t="inlineStr">
        <is>
          <t>#</t>
        </is>
      </c>
    </row>
    <row r="89" hidden="1" s="94">
      <c r="A89" s="0" t="inlineStr">
        <is>
          <t>3006186202</t>
        </is>
      </c>
      <c r="B89" s="0" t="inlineStr">
        <is>
          <t>CN-BA-WAREHOUSE ECOM</t>
        </is>
      </c>
      <c r="C89" s="0" t="inlineStr">
        <is>
          <t>CC1155</t>
        </is>
      </c>
      <c r="D89" s="0" t="inlineStr">
        <is>
          <t>Warehouse Ecommerce</t>
        </is>
      </c>
      <c r="E89" s="0" t="inlineStr">
        <is>
          <t>#</t>
        </is>
      </c>
      <c r="F89" s="0" t="inlineStr">
        <is>
          <t>Non Selling</t>
        </is>
      </c>
      <c r="G89" s="0" t="inlineStr">
        <is>
          <t>CLIN24</t>
        </is>
      </c>
      <c r="H89" s="0" t="inlineStr">
        <is>
          <t>#</t>
        </is>
      </c>
      <c r="I89" s="0" t="inlineStr">
        <is>
          <t>#</t>
        </is>
      </c>
    </row>
    <row r="90" hidden="1" s="94">
      <c r="A90" s="0" t="inlineStr">
        <is>
          <t>3006186203</t>
        </is>
      </c>
      <c r="B90" s="0" t="inlineStr">
        <is>
          <t>CN-BA-MERCH</t>
        </is>
      </c>
      <c r="C90" s="0" t="inlineStr">
        <is>
          <t>CC1253</t>
        </is>
      </c>
      <c r="D90" s="0" t="inlineStr">
        <is>
          <t>G&amp;A_Merchandising</t>
        </is>
      </c>
      <c r="E90" s="0" t="inlineStr">
        <is>
          <t>#</t>
        </is>
      </c>
      <c r="F90" s="0" t="inlineStr">
        <is>
          <t>Non Selling</t>
        </is>
      </c>
      <c r="G90" s="0" t="inlineStr">
        <is>
          <t>SSUN8</t>
        </is>
      </c>
      <c r="H90" s="0" t="inlineStr">
        <is>
          <t>#</t>
        </is>
      </c>
      <c r="I90" s="0" t="inlineStr">
        <is>
          <t>#</t>
        </is>
      </c>
    </row>
    <row r="91" hidden="1" s="94">
      <c r="A91" s="0" t="inlineStr">
        <is>
          <t>3006187001</t>
        </is>
      </c>
      <c r="B91" s="0" t="inlineStr">
        <is>
          <t>CN-BA-CORP G&amp;A</t>
        </is>
      </c>
      <c r="C91" s="0" t="inlineStr">
        <is>
          <t>CC1251</t>
        </is>
      </c>
      <c r="D91" s="0" t="inlineStr">
        <is>
          <t>Corporate G&amp;A</t>
        </is>
      </c>
      <c r="E91" s="0" t="inlineStr">
        <is>
          <t>#</t>
        </is>
      </c>
      <c r="F91" s="0" t="inlineStr">
        <is>
          <t>Support</t>
        </is>
      </c>
      <c r="G91" s="0" t="inlineStr">
        <is>
          <t>DLI13</t>
        </is>
      </c>
      <c r="H91" s="0" t="inlineStr">
        <is>
          <t>#</t>
        </is>
      </c>
      <c r="I91" s="0" t="inlineStr">
        <is>
          <t>#</t>
        </is>
      </c>
    </row>
    <row r="92" hidden="1" s="94">
      <c r="A92" s="0" t="inlineStr">
        <is>
          <t>3006187002</t>
        </is>
      </c>
      <c r="B92" s="0" t="inlineStr">
        <is>
          <t>CN-BA-FINANCE</t>
        </is>
      </c>
      <c r="C92" s="0" t="inlineStr">
        <is>
          <t>CC1252</t>
        </is>
      </c>
      <c r="D92" s="0" t="inlineStr">
        <is>
          <t>G&amp;A_Admin &amp; Finance</t>
        </is>
      </c>
      <c r="E92" s="0" t="inlineStr">
        <is>
          <t>#</t>
        </is>
      </c>
      <c r="F92" s="0" t="inlineStr">
        <is>
          <t>Support</t>
        </is>
      </c>
      <c r="G92" s="0" t="inlineStr">
        <is>
          <t>CLIN24</t>
        </is>
      </c>
      <c r="H92" s="0" t="inlineStr">
        <is>
          <t>#</t>
        </is>
      </c>
      <c r="I92" s="0" t="inlineStr">
        <is>
          <t>#</t>
        </is>
      </c>
    </row>
    <row r="93" hidden="1" s="94">
      <c r="A93" s="0" t="inlineStr">
        <is>
          <t>3006187003</t>
        </is>
      </c>
      <c r="B93" s="0" t="inlineStr">
        <is>
          <t>CN-BA-HR</t>
        </is>
      </c>
      <c r="C93" s="0" t="inlineStr">
        <is>
          <t>CC1254</t>
        </is>
      </c>
      <c r="D93" s="0" t="inlineStr">
        <is>
          <t>G&amp;A_Human Resources</t>
        </is>
      </c>
      <c r="E93" s="0" t="inlineStr">
        <is>
          <t>#</t>
        </is>
      </c>
      <c r="F93" s="0" t="inlineStr">
        <is>
          <t>Support</t>
        </is>
      </c>
      <c r="G93" s="0" t="inlineStr">
        <is>
          <t>DLI13</t>
        </is>
      </c>
      <c r="H93" s="0" t="inlineStr">
        <is>
          <t>#</t>
        </is>
      </c>
      <c r="I93" s="0" t="inlineStr">
        <is>
          <t>#</t>
        </is>
      </c>
    </row>
    <row r="94" hidden="1" s="94">
      <c r="A94" s="0" t="inlineStr">
        <is>
          <t>3006187004</t>
        </is>
      </c>
      <c r="B94" s="0" t="inlineStr">
        <is>
          <t>CN-BA-LEGAL</t>
        </is>
      </c>
      <c r="C94" s="0" t="inlineStr">
        <is>
          <t>CC1251</t>
        </is>
      </c>
      <c r="D94" s="0" t="inlineStr">
        <is>
          <t>Corporate G&amp;A</t>
        </is>
      </c>
      <c r="E94" s="0" t="inlineStr">
        <is>
          <t>#</t>
        </is>
      </c>
      <c r="F94" s="0" t="inlineStr">
        <is>
          <t>Support</t>
        </is>
      </c>
      <c r="G94" s="0" t="inlineStr">
        <is>
          <t>CLIN24</t>
        </is>
      </c>
      <c r="H94" s="0" t="inlineStr">
        <is>
          <t>#</t>
        </is>
      </c>
      <c r="I94" s="0" t="inlineStr">
        <is>
          <t>#</t>
        </is>
      </c>
    </row>
    <row r="95">
      <c r="A95" s="0" t="inlineStr">
        <is>
          <t>3006187005</t>
        </is>
      </c>
      <c r="B95" s="0" t="inlineStr">
        <is>
          <t>CN-BA-MIS</t>
        </is>
      </c>
      <c r="C95" s="0" t="inlineStr">
        <is>
          <t>CC1350</t>
        </is>
      </c>
      <c r="D95" s="0" t="inlineStr">
        <is>
          <t>M.I.S. Exp</t>
        </is>
      </c>
      <c r="E95" s="0" t="inlineStr">
        <is>
          <t>#</t>
        </is>
      </c>
      <c r="F95" s="0" t="inlineStr">
        <is>
          <t>Support</t>
        </is>
      </c>
      <c r="G95" s="0" t="inlineStr">
        <is>
          <t>CLIN24</t>
        </is>
      </c>
      <c r="H95" s="0" t="inlineStr">
        <is>
          <t>#</t>
        </is>
      </c>
      <c r="I95" s="0" t="inlineStr">
        <is>
          <t>#</t>
        </is>
      </c>
    </row>
    <row r="96" hidden="1" s="94">
      <c r="A96" s="0" t="inlineStr">
        <is>
          <t>3006187006</t>
        </is>
      </c>
      <c r="B96" s="0" t="inlineStr">
        <is>
          <t>CN-BA-GS</t>
        </is>
      </c>
      <c r="C96" s="0" t="inlineStr">
        <is>
          <t>CC1257</t>
        </is>
      </c>
      <c r="D96" s="0" t="inlineStr">
        <is>
          <t>G&amp;A_General Services</t>
        </is>
      </c>
      <c r="E96" s="0" t="inlineStr">
        <is>
          <t>#</t>
        </is>
      </c>
      <c r="F96" s="0" t="inlineStr">
        <is>
          <t>Support</t>
        </is>
      </c>
      <c r="G96" s="0" t="inlineStr">
        <is>
          <t>DLI13</t>
        </is>
      </c>
      <c r="H96" s="0" t="inlineStr">
        <is>
          <t>#</t>
        </is>
      </c>
      <c r="I96" s="0" t="inlineStr">
        <is>
          <t>#</t>
        </is>
      </c>
    </row>
    <row r="97" hidden="1" s="94">
      <c r="A97" s="0" t="inlineStr">
        <is>
          <t>3006187008</t>
        </is>
      </c>
      <c r="B97" s="0" t="inlineStr">
        <is>
          <t>CN-BA-RETAIL MT</t>
        </is>
      </c>
      <c r="C97" s="0" t="inlineStr">
        <is>
          <t>CC1258</t>
        </is>
      </c>
      <c r="D97" s="0" t="inlineStr">
        <is>
          <t>G&amp;A_Other</t>
        </is>
      </c>
      <c r="E97" s="0" t="inlineStr">
        <is>
          <t>#</t>
        </is>
      </c>
      <c r="F97" s="0" t="inlineStr">
        <is>
          <t>Support</t>
        </is>
      </c>
      <c r="G97" s="0" t="inlineStr">
        <is>
          <t>CLIN24</t>
        </is>
      </c>
      <c r="H97" s="0" t="inlineStr">
        <is>
          <t>#</t>
        </is>
      </c>
      <c r="I97" s="0" t="inlineStr">
        <is>
          <t>#</t>
        </is>
      </c>
    </row>
    <row r="98" hidden="1" s="94">
      <c r="A98" s="0" t="inlineStr">
        <is>
          <t>3006187009</t>
        </is>
      </c>
      <c r="B98" s="0" t="inlineStr">
        <is>
          <t>CN-BA-TREASURY</t>
        </is>
      </c>
      <c r="C98" s="0" t="inlineStr">
        <is>
          <t>CC1277</t>
        </is>
      </c>
      <c r="D98" s="0" t="inlineStr">
        <is>
          <t>Ker Corp-Treasury</t>
        </is>
      </c>
      <c r="E98" s="0" t="inlineStr">
        <is>
          <t>#</t>
        </is>
      </c>
      <c r="F98" s="0" t="inlineStr">
        <is>
          <t>Support</t>
        </is>
      </c>
      <c r="G98" s="0" t="inlineStr">
        <is>
          <t>CLIN24</t>
        </is>
      </c>
      <c r="H98" s="0" t="inlineStr">
        <is>
          <t>#</t>
        </is>
      </c>
      <c r="I98" s="0" t="inlineStr">
        <is>
          <t>#</t>
        </is>
      </c>
    </row>
    <row r="99" hidden="1" s="94">
      <c r="A99" s="0" t="inlineStr">
        <is>
          <t>3006187012</t>
        </is>
      </c>
      <c r="B99" s="0" t="inlineStr">
        <is>
          <t>CN-BA-SHA-COUTURE</t>
        </is>
      </c>
      <c r="C99" s="0" t="inlineStr">
        <is>
          <t>CC1252</t>
        </is>
      </c>
      <c r="D99" s="0" t="inlineStr">
        <is>
          <t>G&amp;A_Admin &amp; Finance</t>
        </is>
      </c>
      <c r="E99" s="0" t="inlineStr">
        <is>
          <t>#</t>
        </is>
      </c>
      <c r="F99" s="0" t="inlineStr">
        <is>
          <t>Support</t>
        </is>
      </c>
      <c r="G99" s="0" t="inlineStr">
        <is>
          <t>CLIN24</t>
        </is>
      </c>
      <c r="H99" s="0" t="inlineStr">
        <is>
          <t>巴黎世家贸易（上海）有限公司</t>
        </is>
      </c>
      <c r="I99" s="0" t="inlineStr">
        <is>
          <t>#</t>
        </is>
      </c>
    </row>
    <row r="100" hidden="1" s="94">
      <c r="A100" s="0" t="inlineStr">
        <is>
          <t>3006181301</t>
        </is>
      </c>
      <c r="B100" s="0" t="inlineStr">
        <is>
          <t>CN-BA-SO-Training</t>
        </is>
      </c>
      <c r="C100" s="0" t="inlineStr">
        <is>
          <t>CC1453</t>
        </is>
      </c>
      <c r="D100" s="0" t="inlineStr">
        <is>
          <t>Store Operations</t>
        </is>
      </c>
      <c r="E100" s="0" t="inlineStr">
        <is>
          <t>#</t>
        </is>
      </c>
      <c r="F100" s="0" t="inlineStr">
        <is>
          <t>Retail</t>
        </is>
      </c>
      <c r="G100" s="0" t="inlineStr">
        <is>
          <t>SSOONG1</t>
        </is>
      </c>
      <c r="H100" s="0" t="inlineStr">
        <is>
          <t>#</t>
        </is>
      </c>
      <c r="I100" s="0" t="inlineStr">
        <is>
          <t>#</t>
        </is>
      </c>
    </row>
    <row r="101" hidden="1" s="94">
      <c r="A101" s="0" t="inlineStr">
        <is>
          <t>3006181302</t>
        </is>
      </c>
      <c r="B101" s="0" t="inlineStr">
        <is>
          <t>CN-BA-SO-CRM</t>
        </is>
      </c>
      <c r="C101" s="0" t="inlineStr">
        <is>
          <t>CC1453</t>
        </is>
      </c>
      <c r="D101" s="0" t="inlineStr">
        <is>
          <t>Store Operations</t>
        </is>
      </c>
      <c r="E101" s="0" t="inlineStr">
        <is>
          <t>#</t>
        </is>
      </c>
      <c r="F101" s="0" t="inlineStr">
        <is>
          <t>Retail</t>
        </is>
      </c>
      <c r="G101" s="0" t="inlineStr">
        <is>
          <t>SSOONG1</t>
        </is>
      </c>
      <c r="H101" s="0" t="inlineStr">
        <is>
          <t>#</t>
        </is>
      </c>
      <c r="I101" s="0" t="inlineStr">
        <is>
          <t>#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RlnexE8m++6Awtp3dt/50A==" formatRows="0" sort="0" spinCount="100000" hashValue="DkhGwxOCP6ei/2MwCJTHKps8mzTk7eVpbxBWiAnLLk1l/eFv/2xpLcxi9RBcYbPWqJvG5t28UDxfmOHHA6Bi/w=="/>
  <autoFilter ref="A1:I101">
    <filterColumn colId="1" hiddenButton="0" showButton="1">
      <filters>
        <filter val="CN-BA-MI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:A12"/>
    </sheetView>
  </sheetViews>
  <sheetFormatPr baseColWidth="8" defaultRowHeight="13.5"/>
  <sheetData>
    <row r="1" ht="15" customHeight="1" s="94">
      <c r="A1" s="1" t="inlineStr">
        <is>
          <t>CNY</t>
        </is>
      </c>
    </row>
    <row r="2" ht="15" customHeight="1" s="94">
      <c r="A2" s="1" t="inlineStr">
        <is>
          <t>HKD</t>
        </is>
      </c>
    </row>
    <row r="3" ht="15" customHeight="1" s="94">
      <c r="A3" s="1" t="inlineStr">
        <is>
          <t>CHF</t>
        </is>
      </c>
    </row>
    <row r="4" ht="15" customHeight="1" s="94">
      <c r="A4" s="1" t="inlineStr">
        <is>
          <t>EUR</t>
        </is>
      </c>
    </row>
    <row r="5" ht="15" customHeight="1" s="94">
      <c r="A5" s="1" t="inlineStr">
        <is>
          <t>USD</t>
        </is>
      </c>
    </row>
    <row r="6" ht="15" customHeight="1" s="94">
      <c r="A6" s="1" t="inlineStr">
        <is>
          <t xml:space="preserve">GBP </t>
        </is>
      </c>
    </row>
    <row r="7" ht="15" customHeight="1" s="94">
      <c r="A7" s="1" t="inlineStr">
        <is>
          <t>TWD</t>
        </is>
      </c>
    </row>
    <row r="8" ht="15" customHeight="1" s="94">
      <c r="A8" s="1" t="inlineStr">
        <is>
          <t>MOP</t>
        </is>
      </c>
    </row>
    <row r="9" ht="15" customHeight="1" s="94">
      <c r="A9" s="1" t="inlineStr">
        <is>
          <t>SGD</t>
        </is>
      </c>
    </row>
    <row r="10" ht="15" customHeight="1" s="94">
      <c r="A10" s="1" t="inlineStr">
        <is>
          <t xml:space="preserve">JPY </t>
        </is>
      </c>
    </row>
    <row r="11" ht="15" customHeight="1" s="94">
      <c r="A11" s="1" t="inlineStr">
        <is>
          <t>AUD</t>
        </is>
      </c>
    </row>
    <row r="12" ht="15" customHeight="1" s="94">
      <c r="A12" s="1" t="inlineStr">
        <is>
          <t>KRW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8" sqref="A18"/>
    </sheetView>
  </sheetViews>
  <sheetFormatPr baseColWidth="8" defaultColWidth="9" defaultRowHeight="15"/>
  <cols>
    <col width="55.5" bestFit="1" customWidth="1" style="3" min="1" max="1"/>
    <col width="9" customWidth="1" style="3" min="2" max="16384"/>
  </cols>
  <sheetData>
    <row r="1">
      <c r="A1" s="3" t="inlineStr">
        <is>
          <t>Company Name</t>
        </is>
      </c>
    </row>
    <row r="2">
      <c r="A2" s="1" t="inlineStr">
        <is>
          <t>Richemont Commercial Co., Ltd.</t>
        </is>
      </c>
    </row>
    <row r="3">
      <c r="A3" s="1" t="inlineStr">
        <is>
          <t>Shanghai Richemont Twin Villas Commercial and Trading Co., Ltd.</t>
        </is>
      </c>
    </row>
    <row r="4">
      <c r="A4" s="1" t="inlineStr">
        <is>
          <t>Richemont Trading (Shanghai) Co., Ltd.</t>
        </is>
      </c>
    </row>
    <row r="5">
      <c r="A5" s="1" t="inlineStr">
        <is>
          <t>Richemont (Beijing) Commercial and Trading Co., Ltd.</t>
        </is>
      </c>
    </row>
    <row r="6">
      <c r="A6" s="1" t="inlineStr">
        <is>
          <t>Shenyang Richemont Vendome Commercial and Trading Co., Ltd.</t>
        </is>
      </c>
    </row>
    <row r="7">
      <c r="A7" s="1" t="inlineStr">
        <is>
          <t>Hangzhou Richemont Commercial and Trading Co., Ltd.</t>
        </is>
      </c>
    </row>
    <row r="8">
      <c r="A8" s="2" t="inlineStr">
        <is>
          <t>Richemont Commercial Guangzhou Co., Ltd.</t>
        </is>
      </c>
    </row>
    <row r="9">
      <c r="A9" s="1" t="inlineStr">
        <is>
          <t>Chengdu Richemont Vendome Commercial and Trading Co., Ltd.</t>
        </is>
      </c>
    </row>
    <row r="10">
      <c r="A10" s="3" t="inlineStr">
        <is>
          <t>Montblanc Commercial (China) Company Limited</t>
        </is>
      </c>
    </row>
    <row r="11">
      <c r="A11" s="3" t="inlineStr">
        <is>
          <t>Alfred Dunhill (Shanghai) Trading Company Limited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 Moment (EXT-RIC-CN)</dc:creator>
  <dcterms:created xsi:type="dcterms:W3CDTF">2015-03-11T06:04:43Z</dcterms:created>
  <dcterms:modified xsi:type="dcterms:W3CDTF">2026-04-16T04:59:45Z</dcterms:modified>
  <cp:lastModifiedBy>Chang Liu</cp:lastModifiedBy>
  <cp:lastPrinted>2025-12-12T11:56:01Z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0x0101009B180934EF1A5545A2467BCF02743863</vt:lpwstr>
  </property>
  <property name="MSIP_Label_7cdb6f0a-766a-440a-a3ab-e9891de0b484_Enabled" fmtid="{D5CDD505-2E9C-101B-9397-08002B2CF9AE}" pid="3">
    <vt:lpwstr>true</vt:lpwstr>
  </property>
  <property name="MSIP_Label_7cdb6f0a-766a-440a-a3ab-e9891de0b484_SetDate" fmtid="{D5CDD505-2E9C-101B-9397-08002B2CF9AE}" pid="4">
    <vt:lpwstr>2023-02-10T06:42:37Z</vt:lpwstr>
  </property>
  <property name="MSIP_Label_7cdb6f0a-766a-440a-a3ab-e9891de0b484_Method" fmtid="{D5CDD505-2E9C-101B-9397-08002B2CF9AE}" pid="5">
    <vt:lpwstr>Privileged</vt:lpwstr>
  </property>
  <property name="MSIP_Label_7cdb6f0a-766a-440a-a3ab-e9891de0b484_Name" fmtid="{D5CDD505-2E9C-101B-9397-08002B2CF9AE}" pid="6">
    <vt:lpwstr>Internal_SensitivityLabel</vt:lpwstr>
  </property>
  <property name="MSIP_Label_7cdb6f0a-766a-440a-a3ab-e9891de0b484_SiteId" fmtid="{D5CDD505-2E9C-101B-9397-08002B2CF9AE}" pid="7">
    <vt:lpwstr>2ff06a03-1c24-40f5-9d3b-854d93aaed7f</vt:lpwstr>
  </property>
  <property name="MSIP_Label_7cdb6f0a-766a-440a-a3ab-e9891de0b484_ActionId" fmtid="{D5CDD505-2E9C-101B-9397-08002B2CF9AE}" pid="8">
    <vt:lpwstr>74dc432f-0dc7-4f2e-88e7-66a668e9368f</vt:lpwstr>
  </property>
  <property name="MSIP_Label_7cdb6f0a-766a-440a-a3ab-e9891de0b484_ContentBits" fmtid="{D5CDD505-2E9C-101B-9397-08002B2CF9AE}" pid="9">
    <vt:lpwstr>0</vt:lpwstr>
  </property>
  <property name="SV_QUERY_LIST_4F35BF76-6C0D-4D9B-82B2-816C12CF3733" fmtid="{D5CDD505-2E9C-101B-9397-08002B2CF9AE}" pid="10">
    <vt:lpwstr>empty_477D106A-C0D6-4607-AEBD-E2C9D60EA279</vt:lpwstr>
  </property>
  <property name="SV_HIDDEN_GRID_QUERY_LIST_4F35BF76-6C0D-4D9B-82B2-816C12CF3733" fmtid="{D5CDD505-2E9C-101B-9397-08002B2CF9AE}" pid="11">
    <vt:lpwstr>empty_477D106A-C0D6-4607-AEBD-E2C9D60EA279</vt:lpwstr>
  </property>
  <property name="MediaServiceImageTags" fmtid="{D5CDD505-2E9C-101B-9397-08002B2CF9AE}" pid="12">
    <vt:lpwstr/>
  </property>
</Properties>
</file>